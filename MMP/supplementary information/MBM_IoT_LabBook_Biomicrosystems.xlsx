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7EBC57C8-8F7A-44DB-8A42-1F9F5AF0EE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3" r:id="rId1"/>
    <sheet name="IoT Biosensor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2" l="1"/>
  <c r="Y98" i="2" s="1"/>
  <c r="U24" i="2"/>
  <c r="U98" i="2" s="1"/>
  <c r="T25" i="2"/>
  <c r="T24" i="2"/>
  <c r="S25" i="2"/>
  <c r="S24" i="2"/>
  <c r="R25" i="2"/>
  <c r="R24" i="2"/>
  <c r="Q25" i="2"/>
  <c r="Q24" i="2"/>
  <c r="V24" i="2" s="1"/>
  <c r="V98" i="2" s="1"/>
  <c r="P25" i="2"/>
  <c r="P24" i="2"/>
  <c r="T96" i="2"/>
  <c r="T97" i="2"/>
  <c r="T98" i="2"/>
  <c r="S96" i="2"/>
  <c r="S97" i="2"/>
  <c r="S98" i="2"/>
  <c r="R96" i="2"/>
  <c r="R97" i="2"/>
  <c r="R98" i="2"/>
  <c r="Q97" i="2"/>
  <c r="Q98" i="2"/>
  <c r="P97" i="2"/>
  <c r="P98" i="2"/>
  <c r="O95" i="2"/>
  <c r="O96" i="2"/>
  <c r="O97" i="2"/>
  <c r="O90" i="2"/>
  <c r="O24" i="2"/>
  <c r="O98" i="2" s="1"/>
  <c r="O25" i="2"/>
  <c r="O26" i="2"/>
  <c r="O27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1" i="2"/>
  <c r="O92" i="2"/>
  <c r="O93" i="2"/>
  <c r="O94" i="2"/>
  <c r="O28" i="2"/>
  <c r="X25" i="2" l="1"/>
  <c r="Y25" i="2"/>
  <c r="V25" i="2"/>
  <c r="W25" i="2"/>
  <c r="U25" i="2"/>
  <c r="X24" i="2"/>
  <c r="X98" i="2" s="1"/>
  <c r="W24" i="2"/>
  <c r="W98" i="2" s="1"/>
  <c r="T27" i="2" l="1"/>
  <c r="T28" i="2"/>
  <c r="T29" i="2"/>
  <c r="T30" i="2"/>
  <c r="T31" i="2"/>
  <c r="T32" i="2"/>
  <c r="T33" i="2"/>
  <c r="T34" i="2"/>
  <c r="Y36" i="2" s="1"/>
  <c r="T35" i="2"/>
  <c r="T36" i="2"/>
  <c r="T37" i="2"/>
  <c r="T38" i="2"/>
  <c r="T39" i="2"/>
  <c r="T40" i="2"/>
  <c r="T41" i="2"/>
  <c r="T42" i="2"/>
  <c r="Y44" i="2" s="1"/>
  <c r="T43" i="2"/>
  <c r="T44" i="2"/>
  <c r="T45" i="2"/>
  <c r="T46" i="2"/>
  <c r="T47" i="2"/>
  <c r="T48" i="2"/>
  <c r="T49" i="2"/>
  <c r="T50" i="2"/>
  <c r="Y52" i="2" s="1"/>
  <c r="T51" i="2"/>
  <c r="T52" i="2"/>
  <c r="T53" i="2"/>
  <c r="T54" i="2"/>
  <c r="T55" i="2"/>
  <c r="T56" i="2"/>
  <c r="T57" i="2"/>
  <c r="T58" i="2"/>
  <c r="Y60" i="2" s="1"/>
  <c r="T59" i="2"/>
  <c r="T60" i="2"/>
  <c r="T61" i="2"/>
  <c r="T62" i="2"/>
  <c r="T63" i="2"/>
  <c r="T64" i="2"/>
  <c r="T65" i="2"/>
  <c r="T66" i="2"/>
  <c r="Y68" i="2" s="1"/>
  <c r="T67" i="2"/>
  <c r="T68" i="2"/>
  <c r="T69" i="2"/>
  <c r="T70" i="2"/>
  <c r="T71" i="2"/>
  <c r="T72" i="2"/>
  <c r="T73" i="2"/>
  <c r="T74" i="2"/>
  <c r="Y76" i="2" s="1"/>
  <c r="T75" i="2"/>
  <c r="T76" i="2"/>
  <c r="T77" i="2"/>
  <c r="T78" i="2"/>
  <c r="T79" i="2"/>
  <c r="T80" i="2"/>
  <c r="T81" i="2"/>
  <c r="T82" i="2"/>
  <c r="Y84" i="2" s="1"/>
  <c r="T83" i="2"/>
  <c r="T84" i="2"/>
  <c r="T85" i="2"/>
  <c r="T86" i="2"/>
  <c r="T87" i="2"/>
  <c r="T88" i="2"/>
  <c r="T89" i="2"/>
  <c r="T90" i="2"/>
  <c r="Y92" i="2" s="1"/>
  <c r="T91" i="2"/>
  <c r="T92" i="2"/>
  <c r="T93" i="2"/>
  <c r="T94" i="2"/>
  <c r="T95" i="2"/>
  <c r="Y97" i="2" s="1"/>
  <c r="T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X97" i="2" s="1"/>
  <c r="S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W96" i="2" s="1"/>
  <c r="R95" i="2"/>
  <c r="W97" i="2" s="1"/>
  <c r="R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26" i="2"/>
  <c r="P96" i="2"/>
  <c r="P95" i="2"/>
  <c r="U97" i="2" s="1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U96" i="2" s="1"/>
  <c r="P26" i="2"/>
  <c r="H8" i="2"/>
  <c r="B8" i="2"/>
  <c r="X96" i="2" l="1"/>
  <c r="W95" i="2"/>
  <c r="U95" i="2"/>
  <c r="V96" i="2"/>
  <c r="Y27" i="2"/>
  <c r="Y26" i="2"/>
  <c r="V95" i="2"/>
  <c r="X27" i="2"/>
  <c r="X26" i="2"/>
  <c r="Y96" i="2"/>
  <c r="U26" i="2"/>
  <c r="U27" i="2"/>
  <c r="V97" i="2"/>
  <c r="Y95" i="2"/>
  <c r="W27" i="2"/>
  <c r="W26" i="2"/>
  <c r="V27" i="2"/>
  <c r="V26" i="2"/>
  <c r="X95" i="2"/>
  <c r="W58" i="2"/>
  <c r="W42" i="2"/>
  <c r="X35" i="2"/>
  <c r="W82" i="2"/>
  <c r="W50" i="2"/>
  <c r="X28" i="2"/>
  <c r="V28" i="2"/>
  <c r="W90" i="2"/>
  <c r="W66" i="2"/>
  <c r="W34" i="2"/>
  <c r="U73" i="2"/>
  <c r="V85" i="2"/>
  <c r="V61" i="2"/>
  <c r="V37" i="2"/>
  <c r="W78" i="2"/>
  <c r="W62" i="2"/>
  <c r="W46" i="2"/>
  <c r="W30" i="2"/>
  <c r="X87" i="2"/>
  <c r="X63" i="2"/>
  <c r="X47" i="2"/>
  <c r="X39" i="2"/>
  <c r="X31" i="2"/>
  <c r="Y88" i="2"/>
  <c r="Y80" i="2"/>
  <c r="Y64" i="2"/>
  <c r="Y56" i="2"/>
  <c r="Y48" i="2"/>
  <c r="Y40" i="2"/>
  <c r="V53" i="2"/>
  <c r="Y32" i="2"/>
  <c r="U93" i="2"/>
  <c r="U85" i="2"/>
  <c r="U77" i="2"/>
  <c r="U69" i="2"/>
  <c r="U61" i="2"/>
  <c r="U53" i="2"/>
  <c r="U45" i="2"/>
  <c r="U37" i="2"/>
  <c r="U29" i="2"/>
  <c r="V90" i="2"/>
  <c r="V82" i="2"/>
  <c r="V74" i="2"/>
  <c r="V66" i="2"/>
  <c r="V58" i="2"/>
  <c r="V50" i="2"/>
  <c r="V42" i="2"/>
  <c r="V34" i="2"/>
  <c r="W91" i="2"/>
  <c r="W83" i="2"/>
  <c r="W75" i="2"/>
  <c r="W67" i="2"/>
  <c r="W59" i="2"/>
  <c r="W51" i="2"/>
  <c r="W43" i="2"/>
  <c r="W35" i="2"/>
  <c r="X92" i="2"/>
  <c r="X84" i="2"/>
  <c r="X76" i="2"/>
  <c r="X68" i="2"/>
  <c r="X60" i="2"/>
  <c r="X52" i="2"/>
  <c r="X44" i="2"/>
  <c r="Y28" i="2"/>
  <c r="U91" i="2"/>
  <c r="U59" i="2"/>
  <c r="V80" i="2"/>
  <c r="V32" i="2"/>
  <c r="W81" i="2"/>
  <c r="W57" i="2"/>
  <c r="X90" i="2"/>
  <c r="X74" i="2"/>
  <c r="X50" i="2"/>
  <c r="X42" i="2"/>
  <c r="Y67" i="2"/>
  <c r="V71" i="2"/>
  <c r="V63" i="2"/>
  <c r="V47" i="2"/>
  <c r="V31" i="2"/>
  <c r="W80" i="2"/>
  <c r="W72" i="2"/>
  <c r="W64" i="2"/>
  <c r="W56" i="2"/>
  <c r="W48" i="2"/>
  <c r="W40" i="2"/>
  <c r="W32" i="2"/>
  <c r="X89" i="2"/>
  <c r="X81" i="2"/>
  <c r="X73" i="2"/>
  <c r="X65" i="2"/>
  <c r="X57" i="2"/>
  <c r="X49" i="2"/>
  <c r="X41" i="2"/>
  <c r="X33" i="2"/>
  <c r="Y90" i="2"/>
  <c r="Y82" i="2"/>
  <c r="Y74" i="2"/>
  <c r="Y66" i="2"/>
  <c r="Y58" i="2"/>
  <c r="Y50" i="2"/>
  <c r="Y42" i="2"/>
  <c r="Y34" i="2"/>
  <c r="U83" i="2"/>
  <c r="U43" i="2"/>
  <c r="V88" i="2"/>
  <c r="V48" i="2"/>
  <c r="W89" i="2"/>
  <c r="W65" i="2"/>
  <c r="X66" i="2"/>
  <c r="X34" i="2"/>
  <c r="Y91" i="2"/>
  <c r="Y83" i="2"/>
  <c r="Y75" i="2"/>
  <c r="Y59" i="2"/>
  <c r="Y51" i="2"/>
  <c r="Y43" i="2"/>
  <c r="Y35" i="2"/>
  <c r="V55" i="2"/>
  <c r="V39" i="2"/>
  <c r="W88" i="2"/>
  <c r="V40" i="2"/>
  <c r="W33" i="2"/>
  <c r="U51" i="2"/>
  <c r="V72" i="2"/>
  <c r="W41" i="2"/>
  <c r="V76" i="2"/>
  <c r="V60" i="2"/>
  <c r="V52" i="2"/>
  <c r="V44" i="2"/>
  <c r="V36" i="2"/>
  <c r="W28" i="2"/>
  <c r="U35" i="2"/>
  <c r="V64" i="2"/>
  <c r="W49" i="2"/>
  <c r="Y86" i="2"/>
  <c r="Y70" i="2"/>
  <c r="Y62" i="2"/>
  <c r="U67" i="2"/>
  <c r="V56" i="2"/>
  <c r="W73" i="2"/>
  <c r="X36" i="2"/>
  <c r="Y93" i="2"/>
  <c r="Y85" i="2"/>
  <c r="Y77" i="2"/>
  <c r="Y69" i="2"/>
  <c r="Y61" i="2"/>
  <c r="Y53" i="2"/>
  <c r="Y45" i="2"/>
  <c r="Y37" i="2"/>
  <c r="Y29" i="2"/>
  <c r="U90" i="2"/>
  <c r="U66" i="2"/>
  <c r="U42" i="2"/>
  <c r="V79" i="2"/>
  <c r="U74" i="2"/>
  <c r="U58" i="2"/>
  <c r="U50" i="2"/>
  <c r="U34" i="2"/>
  <c r="V87" i="2"/>
  <c r="V84" i="2"/>
  <c r="Y94" i="2"/>
  <c r="U28" i="2"/>
  <c r="V94" i="2"/>
  <c r="V86" i="2"/>
  <c r="V78" i="2"/>
  <c r="V70" i="2"/>
  <c r="V62" i="2"/>
  <c r="V54" i="2"/>
  <c r="V46" i="2"/>
  <c r="V38" i="2"/>
  <c r="V30" i="2"/>
  <c r="W87" i="2"/>
  <c r="W79" i="2"/>
  <c r="W71" i="2"/>
  <c r="W63" i="2"/>
  <c r="W55" i="2"/>
  <c r="W47" i="2"/>
  <c r="W39" i="2"/>
  <c r="W31" i="2"/>
  <c r="Y89" i="2"/>
  <c r="Y81" i="2"/>
  <c r="Y73" i="2"/>
  <c r="Y65" i="2"/>
  <c r="Y57" i="2"/>
  <c r="Y49" i="2"/>
  <c r="Y41" i="2"/>
  <c r="Y33" i="2"/>
  <c r="U82" i="2"/>
  <c r="U72" i="2"/>
  <c r="U56" i="2"/>
  <c r="U40" i="2"/>
  <c r="V69" i="2"/>
  <c r="W94" i="2"/>
  <c r="X71" i="2"/>
  <c r="X55" i="2"/>
  <c r="Y72" i="2"/>
  <c r="V68" i="2"/>
  <c r="Y78" i="2"/>
  <c r="U87" i="2"/>
  <c r="U79" i="2"/>
  <c r="U71" i="2"/>
  <c r="U63" i="2"/>
  <c r="U55" i="2"/>
  <c r="U47" i="2"/>
  <c r="U39" i="2"/>
  <c r="U31" i="2"/>
  <c r="W93" i="2"/>
  <c r="W85" i="2"/>
  <c r="W77" i="2"/>
  <c r="W69" i="2"/>
  <c r="W61" i="2"/>
  <c r="W53" i="2"/>
  <c r="W45" i="2"/>
  <c r="W37" i="2"/>
  <c r="W29" i="2"/>
  <c r="X94" i="2"/>
  <c r="X86" i="2"/>
  <c r="X78" i="2"/>
  <c r="X70" i="2"/>
  <c r="X62" i="2"/>
  <c r="X54" i="2"/>
  <c r="X46" i="2"/>
  <c r="X38" i="2"/>
  <c r="X30" i="2"/>
  <c r="Y87" i="2"/>
  <c r="Y79" i="2"/>
  <c r="Y71" i="2"/>
  <c r="Y63" i="2"/>
  <c r="Y55" i="2"/>
  <c r="Y47" i="2"/>
  <c r="Y39" i="2"/>
  <c r="Y31" i="2"/>
  <c r="U88" i="2"/>
  <c r="U64" i="2"/>
  <c r="U48" i="2"/>
  <c r="U32" i="2"/>
  <c r="V93" i="2"/>
  <c r="V77" i="2"/>
  <c r="V45" i="2"/>
  <c r="V29" i="2"/>
  <c r="W86" i="2"/>
  <c r="W70" i="2"/>
  <c r="W54" i="2"/>
  <c r="W38" i="2"/>
  <c r="X79" i="2"/>
  <c r="W74" i="2"/>
  <c r="U94" i="2"/>
  <c r="U86" i="2"/>
  <c r="U78" i="2"/>
  <c r="U70" i="2"/>
  <c r="U62" i="2"/>
  <c r="U54" i="2"/>
  <c r="U46" i="2"/>
  <c r="U38" i="2"/>
  <c r="U30" i="2"/>
  <c r="V91" i="2"/>
  <c r="V83" i="2"/>
  <c r="V75" i="2"/>
  <c r="V67" i="2"/>
  <c r="V59" i="2"/>
  <c r="V51" i="2"/>
  <c r="V43" i="2"/>
  <c r="V35" i="2"/>
  <c r="W92" i="2"/>
  <c r="W84" i="2"/>
  <c r="W76" i="2"/>
  <c r="W68" i="2"/>
  <c r="W60" i="2"/>
  <c r="W52" i="2"/>
  <c r="W44" i="2"/>
  <c r="W36" i="2"/>
  <c r="X93" i="2"/>
  <c r="X85" i="2"/>
  <c r="X77" i="2"/>
  <c r="X69" i="2"/>
  <c r="X61" i="2"/>
  <c r="X53" i="2"/>
  <c r="X45" i="2"/>
  <c r="X37" i="2"/>
  <c r="X29" i="2"/>
  <c r="Y30" i="2"/>
  <c r="Y54" i="2"/>
  <c r="U80" i="2"/>
  <c r="U92" i="2"/>
  <c r="U84" i="2"/>
  <c r="U76" i="2"/>
  <c r="U68" i="2"/>
  <c r="U60" i="2"/>
  <c r="U52" i="2"/>
  <c r="U44" i="2"/>
  <c r="U36" i="2"/>
  <c r="V89" i="2"/>
  <c r="V81" i="2"/>
  <c r="V73" i="2"/>
  <c r="V65" i="2"/>
  <c r="V57" i="2"/>
  <c r="V49" i="2"/>
  <c r="V41" i="2"/>
  <c r="V33" i="2"/>
  <c r="X91" i="2"/>
  <c r="X83" i="2"/>
  <c r="X75" i="2"/>
  <c r="X67" i="2"/>
  <c r="X59" i="2"/>
  <c r="X51" i="2"/>
  <c r="X43" i="2"/>
  <c r="Y46" i="2"/>
  <c r="X80" i="2"/>
  <c r="X56" i="2"/>
  <c r="V92" i="2"/>
  <c r="Y38" i="2"/>
  <c r="U81" i="2"/>
  <c r="U33" i="2"/>
  <c r="X88" i="2"/>
  <c r="X32" i="2"/>
  <c r="U89" i="2"/>
  <c r="U41" i="2"/>
  <c r="X48" i="2"/>
  <c r="U57" i="2"/>
  <c r="X72" i="2"/>
  <c r="U65" i="2"/>
  <c r="X64" i="2"/>
  <c r="U49" i="2"/>
  <c r="X40" i="2"/>
  <c r="U75" i="2"/>
  <c r="X82" i="2"/>
  <c r="X58" i="2"/>
  <c r="BE26" i="2"/>
  <c r="BF26" i="2"/>
  <c r="BG26" i="2"/>
  <c r="BD26" i="2"/>
  <c r="AX26" i="2"/>
  <c r="AY26" i="2"/>
  <c r="AZ26" i="2"/>
  <c r="AW26" i="2"/>
  <c r="AQ26" i="2"/>
  <c r="AR26" i="2"/>
  <c r="AS26" i="2"/>
  <c r="AP26" i="2"/>
  <c r="AJ26" i="2"/>
  <c r="AK26" i="2"/>
  <c r="AL26" i="2"/>
  <c r="AI26" i="2"/>
  <c r="AA35" i="2" a="1"/>
  <c r="AA38" i="2" s="1"/>
  <c r="BD27" i="2" l="1"/>
  <c r="AW27" i="2"/>
  <c r="AP27" i="2"/>
  <c r="AI27" i="2"/>
  <c r="AB38" i="2"/>
  <c r="AB35" i="2"/>
  <c r="AB39" i="2"/>
  <c r="AA36" i="2"/>
  <c r="AB36" i="2"/>
  <c r="AA37" i="2"/>
  <c r="AB37" i="2"/>
  <c r="AD35" i="2" s="1"/>
  <c r="AA35" i="2"/>
  <c r="AC35" i="2" s="1"/>
  <c r="AA39" i="2"/>
  <c r="AB44" i="2" l="1"/>
  <c r="AB54" i="2" s="1"/>
  <c r="AC54" i="2" s="1"/>
  <c r="AB43" i="2"/>
  <c r="AB53" i="2" s="1"/>
  <c r="AC53" i="2" s="1"/>
</calcChain>
</file>

<file path=xl/sharedStrings.xml><?xml version="1.0" encoding="utf-8"?>
<sst xmlns="http://schemas.openxmlformats.org/spreadsheetml/2006/main" count="149" uniqueCount="82">
  <si>
    <t xml:space="preserve"> Voltage</t>
  </si>
  <si>
    <t xml:space="preserve"> Current</t>
  </si>
  <si>
    <t>APTES</t>
  </si>
  <si>
    <t>0% APAP</t>
  </si>
  <si>
    <t>15% APAP</t>
  </si>
  <si>
    <t>30% APAP</t>
  </si>
  <si>
    <t>45% APAP</t>
  </si>
  <si>
    <t>60% APAP</t>
  </si>
  <si>
    <t>Lab-Book</t>
  </si>
  <si>
    <t>Supervisor:</t>
  </si>
  <si>
    <t>Johann F. Osma</t>
  </si>
  <si>
    <t>Experiment Nº:</t>
  </si>
  <si>
    <t>Researcher:</t>
  </si>
  <si>
    <t>Title:</t>
  </si>
  <si>
    <t>Starting Date:</t>
  </si>
  <si>
    <t>Description of the experiment</t>
  </si>
  <si>
    <t>Calculation and/or formula:</t>
  </si>
  <si>
    <t>Date</t>
  </si>
  <si>
    <t>oxidation voltage</t>
  </si>
  <si>
    <t>[APAP]</t>
  </si>
  <si>
    <t>LOD = 3.3(Sy/S)</t>
  </si>
  <si>
    <t>%</t>
  </si>
  <si>
    <t>LOQ = 10(Sy/S)</t>
  </si>
  <si>
    <t>Concentration</t>
  </si>
  <si>
    <t>g/l</t>
  </si>
  <si>
    <t>mol/l (M)</t>
  </si>
  <si>
    <t>uM</t>
  </si>
  <si>
    <t>LOD</t>
  </si>
  <si>
    <t>LOQ</t>
  </si>
  <si>
    <t>Oxidation</t>
  </si>
  <si>
    <t>Biosensor 1</t>
  </si>
  <si>
    <t>Biosensor 2</t>
  </si>
  <si>
    <t>Biosensor 3</t>
  </si>
  <si>
    <t>Biosensor 4</t>
  </si>
  <si>
    <t>Promedio</t>
  </si>
  <si>
    <t>15% current</t>
  </si>
  <si>
    <t>30% current</t>
  </si>
  <si>
    <t>45% current</t>
  </si>
  <si>
    <t>60% current</t>
  </si>
  <si>
    <t>Error absoluto</t>
  </si>
  <si>
    <t>SD</t>
  </si>
  <si>
    <t>Ailin Prado Falla</t>
  </si>
  <si>
    <t>Observations</t>
  </si>
  <si>
    <t>Follow up of the experimentation</t>
  </si>
  <si>
    <t>Description</t>
  </si>
  <si>
    <t>Stage</t>
  </si>
  <si>
    <t>Location</t>
  </si>
  <si>
    <t>Sample numbering/codification</t>
  </si>
  <si>
    <t>List of Reagents and/or materials</t>
  </si>
  <si>
    <t>Name of Reagent or material</t>
  </si>
  <si>
    <t>Provider</t>
  </si>
  <si>
    <t>Lot number</t>
  </si>
  <si>
    <t>Approx. Quantity</t>
  </si>
  <si>
    <t>Lab book</t>
  </si>
  <si>
    <t>Biomicrosystems</t>
  </si>
  <si>
    <t>1 ml</t>
  </si>
  <si>
    <t>APAP 15%</t>
  </si>
  <si>
    <t>APAP 30%</t>
  </si>
  <si>
    <t>APAP 45%</t>
  </si>
  <si>
    <t>APAP 60%</t>
  </si>
  <si>
    <t>IoT CV for APAP measurement</t>
  </si>
  <si>
    <t>Biosensor laccase 1 CV water after Aptes</t>
  </si>
  <si>
    <t xml:space="preserve">Biosensor laccase 1 CV 0% Acetaminophen </t>
  </si>
  <si>
    <t xml:space="preserve">Biosensor laccase 1 CV 15% Acetaminophen </t>
  </si>
  <si>
    <t xml:space="preserve">Biosensor laccase 1 CV 30% Acetaminophen </t>
  </si>
  <si>
    <t xml:space="preserve">Biosensor laccase 1 CV 45% Acetaminophen </t>
  </si>
  <si>
    <t xml:space="preserve"> Biosensor laccase 1 CV 60% Acetaminophen </t>
  </si>
  <si>
    <t>Acetaminophen (APAP) cyclic voltammetry (CV) measurements for Lacase Biosensors with IoT potentiostat</t>
  </si>
  <si>
    <t>Milli Q</t>
  </si>
  <si>
    <t>Current</t>
  </si>
  <si>
    <t>Linear estimation</t>
  </si>
  <si>
    <t>Standard division (Sy)</t>
  </si>
  <si>
    <t>Slope (S)</t>
  </si>
  <si>
    <t>Acetaminophen (%)</t>
  </si>
  <si>
    <t xml:space="preserve">This experiment includes the CV measurement of APAP in diferent concentrations (0%, 15%, 30%, 45%, 60%) using IoT controlled syringe pumps for delibering the substances and an IoT potentiostat for the measurements. </t>
  </si>
  <si>
    <t>The objective of this experiment is to characterize the newly developed lacase biosensor designed for a microfluidic system potentiostat with different concentrations of APAP. This was made remotly using four syringe pumps controled with an arduino uno and an Iot controlled potentiostat.</t>
  </si>
  <si>
    <t>IoT Potenciostat</t>
  </si>
  <si>
    <t>Current Filter 1</t>
  </si>
  <si>
    <t>Current Filter 2</t>
  </si>
  <si>
    <t>Voltage</t>
  </si>
  <si>
    <t>SD+</t>
  </si>
  <si>
    <t>SD-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</si>
</sst>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"/>
    <numFmt numFmtId="166" formatCode="0.0"/>
    <numFmt numFmtId="167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right"/>
    </xf>
    <xf numFmtId="0" fontId="20" fillId="33" borderId="0" xfId="0" applyFont="1" applyFill="1"/>
    <xf numFmtId="0" fontId="0" fillId="34" borderId="0" xfId="0" applyFill="1"/>
    <xf numFmtId="0" fontId="16" fillId="0" borderId="0" xfId="0" applyFont="1"/>
    <xf numFmtId="0" fontId="16" fillId="35" borderId="10" xfId="0" applyFont="1" applyFill="1" applyBorder="1"/>
    <xf numFmtId="0" fontId="0" fillId="35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35" borderId="19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16" fillId="35" borderId="16" xfId="0" applyFont="1" applyFill="1" applyBorder="1"/>
    <xf numFmtId="0" fontId="16" fillId="35" borderId="17" xfId="0" applyFont="1" applyFill="1" applyBorder="1"/>
    <xf numFmtId="0" fontId="16" fillId="35" borderId="18" xfId="0" applyFont="1" applyFill="1" applyBorder="1"/>
    <xf numFmtId="11" fontId="0" fillId="0" borderId="0" xfId="0" applyNumberFormat="1"/>
    <xf numFmtId="2" fontId="0" fillId="0" borderId="0" xfId="0" applyNumberFormat="1"/>
    <xf numFmtId="0" fontId="0" fillId="36" borderId="0" xfId="0" applyFill="1"/>
    <xf numFmtId="0" fontId="0" fillId="0" borderId="22" xfId="0" applyBorder="1"/>
    <xf numFmtId="9" fontId="0" fillId="0" borderId="22" xfId="0" applyNumberFormat="1" applyBorder="1"/>
    <xf numFmtId="165" fontId="0" fillId="0" borderId="22" xfId="0" applyNumberFormat="1" applyBorder="1"/>
    <xf numFmtId="166" fontId="0" fillId="0" borderId="22" xfId="0" applyNumberFormat="1" applyBorder="1"/>
    <xf numFmtId="165" fontId="0" fillId="0" borderId="22" xfId="0" quotePrefix="1" applyNumberFormat="1" applyBorder="1"/>
    <xf numFmtId="0" fontId="0" fillId="36" borderId="22" xfId="0" applyFill="1" applyBorder="1"/>
    <xf numFmtId="0" fontId="0" fillId="36" borderId="15" xfId="0" applyFill="1" applyBorder="1"/>
    <xf numFmtId="0" fontId="16" fillId="35" borderId="26" xfId="0" applyFont="1" applyFill="1" applyBorder="1"/>
    <xf numFmtId="0" fontId="16" fillId="35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vertical="center"/>
    </xf>
    <xf numFmtId="0" fontId="16" fillId="35" borderId="0" xfId="0" applyFont="1" applyFill="1" applyAlignment="1">
      <alignment vertical="center"/>
    </xf>
    <xf numFmtId="0" fontId="16" fillId="35" borderId="15" xfId="0" applyFont="1" applyFill="1" applyBorder="1" applyAlignment="1">
      <alignment vertical="center"/>
    </xf>
    <xf numFmtId="0" fontId="16" fillId="35" borderId="16" xfId="0" applyFont="1" applyFill="1" applyBorder="1" applyAlignment="1">
      <alignment vertical="center"/>
    </xf>
    <xf numFmtId="0" fontId="16" fillId="35" borderId="18" xfId="0" applyFont="1" applyFill="1" applyBorder="1" applyAlignment="1">
      <alignment vertical="center"/>
    </xf>
    <xf numFmtId="0" fontId="16" fillId="35" borderId="17" xfId="0" applyFont="1" applyFill="1" applyBorder="1" applyAlignment="1">
      <alignment vertical="center"/>
    </xf>
    <xf numFmtId="14" fontId="0" fillId="0" borderId="20" xfId="0" applyNumberFormat="1" applyBorder="1"/>
    <xf numFmtId="0" fontId="0" fillId="35" borderId="16" xfId="0" applyFill="1" applyBorder="1" applyAlignment="1">
      <alignment vertical="center"/>
    </xf>
    <xf numFmtId="0" fontId="0" fillId="35" borderId="17" xfId="0" applyFill="1" applyBorder="1" applyAlignment="1">
      <alignment vertical="center"/>
    </xf>
    <xf numFmtId="0" fontId="0" fillId="35" borderId="18" xfId="0" applyFill="1" applyBorder="1" applyAlignment="1">
      <alignment vertical="center"/>
    </xf>
    <xf numFmtId="0" fontId="0" fillId="0" borderId="19" xfId="0" applyBorder="1"/>
    <xf numFmtId="14" fontId="0" fillId="0" borderId="13" xfId="0" applyNumberFormat="1" applyBorder="1"/>
    <xf numFmtId="14" fontId="0" fillId="0" borderId="15" xfId="0" applyNumberFormat="1" applyBorder="1"/>
    <xf numFmtId="9" fontId="0" fillId="0" borderId="22" xfId="42" applyFont="1" applyBorder="1"/>
    <xf numFmtId="0" fontId="16" fillId="35" borderId="22" xfId="0" applyFont="1" applyFill="1" applyBorder="1"/>
    <xf numFmtId="0" fontId="16" fillId="35" borderId="23" xfId="0" applyFont="1" applyFill="1" applyBorder="1"/>
    <xf numFmtId="0" fontId="0" fillId="34" borderId="22" xfId="0" applyFill="1" applyBorder="1"/>
    <xf numFmtId="0" fontId="0" fillId="0" borderId="22" xfId="42" applyNumberFormat="1" applyFont="1" applyBorder="1"/>
    <xf numFmtId="14" fontId="0" fillId="0" borderId="0" xfId="0" applyNumberFormat="1"/>
    <xf numFmtId="0" fontId="16" fillId="35" borderId="12" xfId="0" applyFont="1" applyFill="1" applyBorder="1" applyAlignment="1">
      <alignment horizontal="center"/>
    </xf>
    <xf numFmtId="14" fontId="0" fillId="0" borderId="26" xfId="0" applyNumberFormat="1" applyBorder="1"/>
    <xf numFmtId="2" fontId="0" fillId="0" borderId="0" xfId="0" applyNumberFormat="1" applyAlignment="1">
      <alignment horizontal="center"/>
    </xf>
    <xf numFmtId="167" fontId="0" fillId="0" borderId="22" xfId="42" applyNumberFormat="1" applyFont="1" applyBorder="1"/>
    <xf numFmtId="9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6" fillId="35" borderId="20" xfId="0" applyFont="1" applyFill="1" applyBorder="1" applyAlignment="1">
      <alignment horizontal="center" vertical="center"/>
    </xf>
    <xf numFmtId="0" fontId="16" fillId="35" borderId="21" xfId="0" applyFont="1" applyFill="1" applyBorder="1" applyAlignment="1">
      <alignment horizontal="center" vertical="center"/>
    </xf>
    <xf numFmtId="0" fontId="16" fillId="35" borderId="19" xfId="0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5" borderId="2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2" fontId="16" fillId="35" borderId="19" xfId="0" applyNumberFormat="1" applyFont="1" applyFill="1" applyBorder="1" applyAlignment="1">
      <alignment horizontal="center"/>
    </xf>
    <xf numFmtId="2" fontId="16" fillId="35" borderId="12" xfId="0" applyNumberFormat="1" applyFont="1" applyFill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81898148148149"/>
          <c:y val="0.2689946710801368"/>
          <c:w val="0.69458595679012347"/>
          <c:h val="0.6584910529974279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830949518931995"/>
                  <c:y val="-1.98176070842465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'IoT Biosensor'!$AC$25:$AC$28</c:f>
                <c:numCache>
                  <c:formatCode>General</c:formatCode>
                  <c:ptCount val="4"/>
                  <c:pt idx="0">
                    <c:v>1.9012601685344801E-3</c:v>
                  </c:pt>
                  <c:pt idx="1">
                    <c:v>1.21711709759389E-3</c:v>
                  </c:pt>
                  <c:pt idx="2">
                    <c:v>6.2796697480497197E-4</c:v>
                  </c:pt>
                  <c:pt idx="3">
                    <c:v>1.2487814136444475E-3</c:v>
                  </c:pt>
                </c:numCache>
              </c:numRef>
            </c:plus>
            <c:minus>
              <c:numRef>
                <c:f>'IoT Biosensor'!$AD$25:$AD$28</c:f>
                <c:numCache>
                  <c:formatCode>General</c:formatCode>
                  <c:ptCount val="4"/>
                  <c:pt idx="0">
                    <c:v>1.9012601685344801E-3</c:v>
                  </c:pt>
                  <c:pt idx="1">
                    <c:v>1.21711709759389E-3</c:v>
                  </c:pt>
                  <c:pt idx="2">
                    <c:v>6.2796697480497197E-4</c:v>
                  </c:pt>
                  <c:pt idx="3">
                    <c:v>1.2487814136444475E-3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'IoT Biosensor'!$AB$25:$AB$28</c:f>
              <c:numCache>
                <c:formatCode>0%</c:formatCode>
                <c:ptCount val="4"/>
                <c:pt idx="0">
                  <c:v>0.6</c:v>
                </c:pt>
                <c:pt idx="1">
                  <c:v>0.45</c:v>
                </c:pt>
                <c:pt idx="2">
                  <c:v>0.15</c:v>
                </c:pt>
                <c:pt idx="3">
                  <c:v>0</c:v>
                </c:pt>
              </c:numCache>
            </c:numRef>
          </c:xVal>
          <c:yVal>
            <c:numRef>
              <c:f>'IoT Biosensor'!$AA$25:$AA$28</c:f>
              <c:numCache>
                <c:formatCode>General</c:formatCode>
                <c:ptCount val="4"/>
                <c:pt idx="0">
                  <c:v>-8.1049999999999997E-2</c:v>
                </c:pt>
                <c:pt idx="1">
                  <c:v>-8.3250000000000005E-2</c:v>
                </c:pt>
                <c:pt idx="2">
                  <c:v>-8.4279999999999994E-2</c:v>
                </c:pt>
                <c:pt idx="3">
                  <c:v>-8.5080000000000003E-2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A-46E5-AFF3-DA49D9516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41600"/>
        <c:axId val="87556960"/>
      </c:scatterChart>
      <c:valAx>
        <c:axId val="87541600"/>
        <c:scaling>
          <c:orientation val="minMax"/>
          <c:max val="0.65000000000000013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400"/>
                  <a:t>[APAP]</a:t>
                </a:r>
              </a:p>
            </c:rich>
          </c:tx>
          <c:layout>
            <c:manualLayout>
              <c:xMode val="edge"/>
              <c:yMode val="edge"/>
              <c:x val="0.50303911288673664"/>
              <c:y val="3.454156426975441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556960"/>
        <c:crossesAt val="-7.9000000000000015E-2"/>
        <c:crossBetween val="midCat"/>
        <c:majorUnit val="0.15000000000000002"/>
      </c:valAx>
      <c:valAx>
        <c:axId val="87556960"/>
        <c:scaling>
          <c:orientation val="minMax"/>
          <c:max val="-7.9000000000000015E-2"/>
          <c:min val="-8.700000000000002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Current (µA)</a:t>
                </a:r>
              </a:p>
            </c:rich>
          </c:tx>
          <c:layout>
            <c:manualLayout>
              <c:xMode val="edge"/>
              <c:yMode val="edge"/>
              <c:x val="2.425530154829874E-2"/>
              <c:y val="0.38102639270426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541600"/>
        <c:crossesAt val="-5.000000000000001E-2"/>
        <c:crossBetween val="midCat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70460572269234"/>
          <c:y val="0.27915764809180571"/>
          <c:w val="0.69631189847753405"/>
          <c:h val="0.6612072383422157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'IoT Biosensor'!$D$22:$E$22</c:f>
              <c:strCache>
                <c:ptCount val="1"/>
                <c:pt idx="0">
                  <c:v>0% APAP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'IoT Biosensor'!$O$24:$O$98</c:f>
              <c:numCache>
                <c:formatCode>General</c:formatCode>
                <c:ptCount val="75"/>
                <c:pt idx="0">
                  <c:v>-2.4199999999999998E-3</c:v>
                </c:pt>
                <c:pt idx="1">
                  <c:v>4.7529999000000003E-2</c:v>
                </c:pt>
                <c:pt idx="2">
                  <c:v>9.7489997999999994E-2</c:v>
                </c:pt>
                <c:pt idx="3">
                  <c:v>0.14744000099999999</c:v>
                </c:pt>
                <c:pt idx="4">
                  <c:v>0.19739000500000001</c:v>
                </c:pt>
                <c:pt idx="5">
                  <c:v>0.24733999400000001</c:v>
                </c:pt>
                <c:pt idx="6">
                  <c:v>0.29728999699999997</c:v>
                </c:pt>
                <c:pt idx="7">
                  <c:v>0.34724000100000002</c:v>
                </c:pt>
                <c:pt idx="8">
                  <c:v>0.39719000500000001</c:v>
                </c:pt>
                <c:pt idx="9">
                  <c:v>0.44714000799999998</c:v>
                </c:pt>
                <c:pt idx="10">
                  <c:v>0.49709001200000003</c:v>
                </c:pt>
                <c:pt idx="11">
                  <c:v>0.54704999899999995</c:v>
                </c:pt>
                <c:pt idx="12">
                  <c:v>0.597000003</c:v>
                </c:pt>
                <c:pt idx="13">
                  <c:v>0.64695000599999997</c:v>
                </c:pt>
                <c:pt idx="14">
                  <c:v>0.69690001000000001</c:v>
                </c:pt>
                <c:pt idx="15">
                  <c:v>0.74685001399999995</c:v>
                </c:pt>
                <c:pt idx="16">
                  <c:v>0.79680001700000003</c:v>
                </c:pt>
                <c:pt idx="17">
                  <c:v>0.84675002099999996</c:v>
                </c:pt>
                <c:pt idx="18">
                  <c:v>0.89670002500000001</c:v>
                </c:pt>
                <c:pt idx="19">
                  <c:v>0.89911997300000002</c:v>
                </c:pt>
                <c:pt idx="20">
                  <c:v>0.84917002900000005</c:v>
                </c:pt>
                <c:pt idx="21">
                  <c:v>0.79922002599999997</c:v>
                </c:pt>
                <c:pt idx="22">
                  <c:v>0.74927002200000004</c:v>
                </c:pt>
                <c:pt idx="23">
                  <c:v>0.69932001799999999</c:v>
                </c:pt>
                <c:pt idx="24">
                  <c:v>0.64937001500000002</c:v>
                </c:pt>
                <c:pt idx="25">
                  <c:v>0.59940999699999997</c:v>
                </c:pt>
                <c:pt idx="26">
                  <c:v>0.54945999400000001</c:v>
                </c:pt>
                <c:pt idx="27">
                  <c:v>0.49950999000000001</c:v>
                </c:pt>
                <c:pt idx="28">
                  <c:v>0.44955998699999999</c:v>
                </c:pt>
                <c:pt idx="29">
                  <c:v>0.39961001299999999</c:v>
                </c:pt>
                <c:pt idx="30">
                  <c:v>0.34966000899999999</c:v>
                </c:pt>
                <c:pt idx="31">
                  <c:v>0.29971000599999997</c:v>
                </c:pt>
                <c:pt idx="32">
                  <c:v>0.24976000200000001</c:v>
                </c:pt>
                <c:pt idx="33">
                  <c:v>0.19980000000000001</c:v>
                </c:pt>
                <c:pt idx="34">
                  <c:v>0.14984999600000001</c:v>
                </c:pt>
                <c:pt idx="35">
                  <c:v>9.9900000000000003E-2</c:v>
                </c:pt>
                <c:pt idx="36">
                  <c:v>4.9950000000000001E-2</c:v>
                </c:pt>
                <c:pt idx="37">
                  <c:v>0</c:v>
                </c:pt>
                <c:pt idx="38">
                  <c:v>-4.9950000000000001E-2</c:v>
                </c:pt>
                <c:pt idx="39">
                  <c:v>-9.9900000000000003E-2</c:v>
                </c:pt>
                <c:pt idx="40">
                  <c:v>-0.14984999600000001</c:v>
                </c:pt>
                <c:pt idx="41">
                  <c:v>-0.19980000000000001</c:v>
                </c:pt>
                <c:pt idx="42">
                  <c:v>-0.24976000200000001</c:v>
                </c:pt>
                <c:pt idx="43">
                  <c:v>-0.29971000599999997</c:v>
                </c:pt>
                <c:pt idx="44">
                  <c:v>-0.34966000899999999</c:v>
                </c:pt>
                <c:pt idx="45">
                  <c:v>-0.39961001299999999</c:v>
                </c:pt>
                <c:pt idx="46">
                  <c:v>-0.44955998699999999</c:v>
                </c:pt>
                <c:pt idx="47">
                  <c:v>-0.49950999000000001</c:v>
                </c:pt>
                <c:pt idx="48">
                  <c:v>-0.54945999400000001</c:v>
                </c:pt>
                <c:pt idx="49">
                  <c:v>-0.59940999699999997</c:v>
                </c:pt>
                <c:pt idx="50">
                  <c:v>-0.64937001500000002</c:v>
                </c:pt>
                <c:pt idx="51">
                  <c:v>-0.69932001799999999</c:v>
                </c:pt>
                <c:pt idx="52">
                  <c:v>-0.74927002200000004</c:v>
                </c:pt>
                <c:pt idx="53">
                  <c:v>-0.79922002599999997</c:v>
                </c:pt>
                <c:pt idx="54">
                  <c:v>-0.84917002900000005</c:v>
                </c:pt>
                <c:pt idx="55">
                  <c:v>-0.89911997300000002</c:v>
                </c:pt>
                <c:pt idx="56">
                  <c:v>-0.90153998099999999</c:v>
                </c:pt>
                <c:pt idx="57">
                  <c:v>-0.85158997800000003</c:v>
                </c:pt>
                <c:pt idx="58">
                  <c:v>-0.80163997399999998</c:v>
                </c:pt>
                <c:pt idx="59">
                  <c:v>-0.75168001699999998</c:v>
                </c:pt>
                <c:pt idx="60">
                  <c:v>-0.70173001300000004</c:v>
                </c:pt>
                <c:pt idx="61">
                  <c:v>-0.65178000899999999</c:v>
                </c:pt>
                <c:pt idx="62">
                  <c:v>-0.60183000600000003</c:v>
                </c:pt>
                <c:pt idx="63">
                  <c:v>-0.55188000199999998</c:v>
                </c:pt>
                <c:pt idx="64">
                  <c:v>-0.50192999800000004</c:v>
                </c:pt>
                <c:pt idx="65">
                  <c:v>-0.45197999500000002</c:v>
                </c:pt>
                <c:pt idx="66">
                  <c:v>-0.40202999099999998</c:v>
                </c:pt>
                <c:pt idx="67">
                  <c:v>-0.35207998800000001</c:v>
                </c:pt>
                <c:pt idx="68">
                  <c:v>-0.30212</c:v>
                </c:pt>
                <c:pt idx="69">
                  <c:v>-0.25216999699999998</c:v>
                </c:pt>
                <c:pt idx="70">
                  <c:v>-0.20221999299999999</c:v>
                </c:pt>
                <c:pt idx="71">
                  <c:v>-0.15227000399999999</c:v>
                </c:pt>
                <c:pt idx="72">
                  <c:v>-0.10232000099999999</c:v>
                </c:pt>
                <c:pt idx="73">
                  <c:v>-5.2370000999999999E-2</c:v>
                </c:pt>
                <c:pt idx="74">
                  <c:v>-2.4199999999999998E-3</c:v>
                </c:pt>
              </c:numCache>
            </c:numRef>
          </c:xVal>
          <c:yVal>
            <c:numRef>
              <c:f>'IoT Biosensor'!$U$24:$U$98</c:f>
              <c:numCache>
                <c:formatCode>General</c:formatCode>
                <c:ptCount val="75"/>
                <c:pt idx="0">
                  <c:v>-8.8019997000000003E-2</c:v>
                </c:pt>
                <c:pt idx="1">
                  <c:v>-8.785499825000001E-2</c:v>
                </c:pt>
                <c:pt idx="2">
                  <c:v>-8.7681110166666673E-2</c:v>
                </c:pt>
                <c:pt idx="3">
                  <c:v>-8.721111172222222E-2</c:v>
                </c:pt>
                <c:pt idx="4">
                  <c:v>-8.6641111999999978E-2</c:v>
                </c:pt>
                <c:pt idx="5">
                  <c:v>-8.6041111666666656E-2</c:v>
                </c:pt>
                <c:pt idx="6">
                  <c:v>-8.5607777555555542E-2</c:v>
                </c:pt>
                <c:pt idx="7">
                  <c:v>-8.5346666222222214E-2</c:v>
                </c:pt>
                <c:pt idx="8">
                  <c:v>-8.5215555111111119E-2</c:v>
                </c:pt>
                <c:pt idx="9">
                  <c:v>-8.5150000111111124E-2</c:v>
                </c:pt>
                <c:pt idx="10">
                  <c:v>-8.5117777999999991E-2</c:v>
                </c:pt>
                <c:pt idx="11">
                  <c:v>-8.5102221999999991E-2</c:v>
                </c:pt>
                <c:pt idx="12">
                  <c:v>-8.5093331666666661E-2</c:v>
                </c:pt>
                <c:pt idx="13">
                  <c:v>-8.5087775222222217E-2</c:v>
                </c:pt>
                <c:pt idx="14">
                  <c:v>-8.5083330666666665E-2</c:v>
                </c:pt>
                <c:pt idx="15">
                  <c:v>-8.5081108888888882E-2</c:v>
                </c:pt>
                <c:pt idx="16">
                  <c:v>-8.5079998000000004E-2</c:v>
                </c:pt>
                <c:pt idx="17">
                  <c:v>-8.5079998000000004E-2</c:v>
                </c:pt>
                <c:pt idx="18">
                  <c:v>-8.5079998000000004E-2</c:v>
                </c:pt>
                <c:pt idx="19">
                  <c:v>-8.5079998000000004E-2</c:v>
                </c:pt>
                <c:pt idx="20">
                  <c:v>-8.5079998000000004E-2</c:v>
                </c:pt>
                <c:pt idx="21">
                  <c:v>-8.5079998000000004E-2</c:v>
                </c:pt>
                <c:pt idx="22">
                  <c:v>-8.5079998000000004E-2</c:v>
                </c:pt>
                <c:pt idx="23">
                  <c:v>-8.5079998000000004E-2</c:v>
                </c:pt>
                <c:pt idx="24">
                  <c:v>-8.5079998000000004E-2</c:v>
                </c:pt>
                <c:pt idx="25">
                  <c:v>-8.5079998000000004E-2</c:v>
                </c:pt>
                <c:pt idx="26">
                  <c:v>-8.5079998000000004E-2</c:v>
                </c:pt>
                <c:pt idx="27">
                  <c:v>-8.5079998000000004E-2</c:v>
                </c:pt>
                <c:pt idx="28">
                  <c:v>-8.5079998000000004E-2</c:v>
                </c:pt>
                <c:pt idx="29">
                  <c:v>-8.5079998000000004E-2</c:v>
                </c:pt>
                <c:pt idx="30">
                  <c:v>-8.5079998000000004E-2</c:v>
                </c:pt>
                <c:pt idx="31">
                  <c:v>-8.5079998000000004E-2</c:v>
                </c:pt>
                <c:pt idx="32">
                  <c:v>-8.5079998000000004E-2</c:v>
                </c:pt>
                <c:pt idx="33">
                  <c:v>-8.5079998000000004E-2</c:v>
                </c:pt>
                <c:pt idx="34">
                  <c:v>-8.5079998000000004E-2</c:v>
                </c:pt>
                <c:pt idx="35">
                  <c:v>-8.5079998000000004E-2</c:v>
                </c:pt>
                <c:pt idx="36">
                  <c:v>-8.5079998000000004E-2</c:v>
                </c:pt>
                <c:pt idx="37">
                  <c:v>-8.5214442888888894E-2</c:v>
                </c:pt>
                <c:pt idx="38">
                  <c:v>-8.5639999333333341E-2</c:v>
                </c:pt>
                <c:pt idx="39">
                  <c:v>-8.6480000111111122E-2</c:v>
                </c:pt>
                <c:pt idx="40">
                  <c:v>-8.7572222111111112E-2</c:v>
                </c:pt>
                <c:pt idx="41">
                  <c:v>-8.8701110111111106E-2</c:v>
                </c:pt>
                <c:pt idx="42">
                  <c:v>-8.9668887555555563E-2</c:v>
                </c:pt>
                <c:pt idx="43">
                  <c:v>-9.0421110555555559E-2</c:v>
                </c:pt>
                <c:pt idx="44">
                  <c:v>-9.0931111777777782E-2</c:v>
                </c:pt>
                <c:pt idx="45">
                  <c:v>-9.1230001666666671E-2</c:v>
                </c:pt>
                <c:pt idx="46">
                  <c:v>-9.1378890666666671E-2</c:v>
                </c:pt>
                <c:pt idx="47">
                  <c:v>-9.1452223444444439E-2</c:v>
                </c:pt>
                <c:pt idx="48">
                  <c:v>-9.1488888666666657E-2</c:v>
                </c:pt>
                <c:pt idx="49">
                  <c:v>-9.1506665111111107E-2</c:v>
                </c:pt>
                <c:pt idx="50">
                  <c:v>-9.1471108555555555E-2</c:v>
                </c:pt>
                <c:pt idx="51">
                  <c:v>-9.1408886222222221E-2</c:v>
                </c:pt>
                <c:pt idx="52">
                  <c:v>-9.1288886999999999E-2</c:v>
                </c:pt>
                <c:pt idx="53">
                  <c:v>-9.1184443777777791E-2</c:v>
                </c:pt>
                <c:pt idx="54">
                  <c:v>-9.1042222888888899E-2</c:v>
                </c:pt>
                <c:pt idx="55">
                  <c:v>-9.0926667666666669E-2</c:v>
                </c:pt>
                <c:pt idx="56">
                  <c:v>-9.0824445777777776E-2</c:v>
                </c:pt>
                <c:pt idx="57">
                  <c:v>-9.0773334111111117E-2</c:v>
                </c:pt>
                <c:pt idx="58">
                  <c:v>-9.0747778000000001E-2</c:v>
                </c:pt>
                <c:pt idx="59">
                  <c:v>-9.0735554222222237E-2</c:v>
                </c:pt>
                <c:pt idx="60">
                  <c:v>-9.0729997777777793E-2</c:v>
                </c:pt>
                <c:pt idx="61">
                  <c:v>-9.0726664000000012E-2</c:v>
                </c:pt>
                <c:pt idx="62">
                  <c:v>-9.0723331000000004E-2</c:v>
                </c:pt>
                <c:pt idx="63">
                  <c:v>-9.0721109000000008E-2</c:v>
                </c:pt>
                <c:pt idx="64">
                  <c:v>-9.071999800000001E-2</c:v>
                </c:pt>
                <c:pt idx="65">
                  <c:v>-9.071999800000001E-2</c:v>
                </c:pt>
                <c:pt idx="66">
                  <c:v>-9.071999800000001E-2</c:v>
                </c:pt>
                <c:pt idx="67">
                  <c:v>-9.071999800000001E-2</c:v>
                </c:pt>
                <c:pt idx="68">
                  <c:v>-9.071999800000001E-2</c:v>
                </c:pt>
                <c:pt idx="69">
                  <c:v>-9.071999800000001E-2</c:v>
                </c:pt>
                <c:pt idx="70">
                  <c:v>-9.071999800000001E-2</c:v>
                </c:pt>
                <c:pt idx="71">
                  <c:v>-9.071999800000001E-2</c:v>
                </c:pt>
                <c:pt idx="72">
                  <c:v>-9.0585553888888892E-2</c:v>
                </c:pt>
                <c:pt idx="73">
                  <c:v>-9.0159999000000005E-2</c:v>
                </c:pt>
                <c:pt idx="74">
                  <c:v>-8.8019997000000003E-2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5-4716-9F37-413F5103CCE2}"/>
            </c:ext>
          </c:extLst>
        </c:ser>
        <c:ser>
          <c:idx val="2"/>
          <c:order val="1"/>
          <c:tx>
            <c:strRef>
              <c:f>'IoT Biosensor'!$F$22:$G$22</c:f>
              <c:strCache>
                <c:ptCount val="1"/>
                <c:pt idx="0">
                  <c:v>15% APAP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'IoT Biosensor'!$O$24:$O$98</c:f>
              <c:numCache>
                <c:formatCode>General</c:formatCode>
                <c:ptCount val="75"/>
                <c:pt idx="0">
                  <c:v>-2.4199999999999998E-3</c:v>
                </c:pt>
                <c:pt idx="1">
                  <c:v>4.7529999000000003E-2</c:v>
                </c:pt>
                <c:pt idx="2">
                  <c:v>9.7489997999999994E-2</c:v>
                </c:pt>
                <c:pt idx="3">
                  <c:v>0.14744000099999999</c:v>
                </c:pt>
                <c:pt idx="4">
                  <c:v>0.19739000500000001</c:v>
                </c:pt>
                <c:pt idx="5">
                  <c:v>0.24733999400000001</c:v>
                </c:pt>
                <c:pt idx="6">
                  <c:v>0.29728999699999997</c:v>
                </c:pt>
                <c:pt idx="7">
                  <c:v>0.34724000100000002</c:v>
                </c:pt>
                <c:pt idx="8">
                  <c:v>0.39719000500000001</c:v>
                </c:pt>
                <c:pt idx="9">
                  <c:v>0.44714000799999998</c:v>
                </c:pt>
                <c:pt idx="10">
                  <c:v>0.49709001200000003</c:v>
                </c:pt>
                <c:pt idx="11">
                  <c:v>0.54704999899999995</c:v>
                </c:pt>
                <c:pt idx="12">
                  <c:v>0.597000003</c:v>
                </c:pt>
                <c:pt idx="13">
                  <c:v>0.64695000599999997</c:v>
                </c:pt>
                <c:pt idx="14">
                  <c:v>0.69690001000000001</c:v>
                </c:pt>
                <c:pt idx="15">
                  <c:v>0.74685001399999995</c:v>
                </c:pt>
                <c:pt idx="16">
                  <c:v>0.79680001700000003</c:v>
                </c:pt>
                <c:pt idx="17">
                  <c:v>0.84675002099999996</c:v>
                </c:pt>
                <c:pt idx="18">
                  <c:v>0.89670002500000001</c:v>
                </c:pt>
                <c:pt idx="19">
                  <c:v>0.89911997300000002</c:v>
                </c:pt>
                <c:pt idx="20">
                  <c:v>0.84917002900000005</c:v>
                </c:pt>
                <c:pt idx="21">
                  <c:v>0.79922002599999997</c:v>
                </c:pt>
                <c:pt idx="22">
                  <c:v>0.74927002200000004</c:v>
                </c:pt>
                <c:pt idx="23">
                  <c:v>0.69932001799999999</c:v>
                </c:pt>
                <c:pt idx="24">
                  <c:v>0.64937001500000002</c:v>
                </c:pt>
                <c:pt idx="25">
                  <c:v>0.59940999699999997</c:v>
                </c:pt>
                <c:pt idx="26">
                  <c:v>0.54945999400000001</c:v>
                </c:pt>
                <c:pt idx="27">
                  <c:v>0.49950999000000001</c:v>
                </c:pt>
                <c:pt idx="28">
                  <c:v>0.44955998699999999</c:v>
                </c:pt>
                <c:pt idx="29">
                  <c:v>0.39961001299999999</c:v>
                </c:pt>
                <c:pt idx="30">
                  <c:v>0.34966000899999999</c:v>
                </c:pt>
                <c:pt idx="31">
                  <c:v>0.29971000599999997</c:v>
                </c:pt>
                <c:pt idx="32">
                  <c:v>0.24976000200000001</c:v>
                </c:pt>
                <c:pt idx="33">
                  <c:v>0.19980000000000001</c:v>
                </c:pt>
                <c:pt idx="34">
                  <c:v>0.14984999600000001</c:v>
                </c:pt>
                <c:pt idx="35">
                  <c:v>9.9900000000000003E-2</c:v>
                </c:pt>
                <c:pt idx="36">
                  <c:v>4.9950000000000001E-2</c:v>
                </c:pt>
                <c:pt idx="37">
                  <c:v>0</c:v>
                </c:pt>
                <c:pt idx="38">
                  <c:v>-4.9950000000000001E-2</c:v>
                </c:pt>
                <c:pt idx="39">
                  <c:v>-9.9900000000000003E-2</c:v>
                </c:pt>
                <c:pt idx="40">
                  <c:v>-0.14984999600000001</c:v>
                </c:pt>
                <c:pt idx="41">
                  <c:v>-0.19980000000000001</c:v>
                </c:pt>
                <c:pt idx="42">
                  <c:v>-0.24976000200000001</c:v>
                </c:pt>
                <c:pt idx="43">
                  <c:v>-0.29971000599999997</c:v>
                </c:pt>
                <c:pt idx="44">
                  <c:v>-0.34966000899999999</c:v>
                </c:pt>
                <c:pt idx="45">
                  <c:v>-0.39961001299999999</c:v>
                </c:pt>
                <c:pt idx="46">
                  <c:v>-0.44955998699999999</c:v>
                </c:pt>
                <c:pt idx="47">
                  <c:v>-0.49950999000000001</c:v>
                </c:pt>
                <c:pt idx="48">
                  <c:v>-0.54945999400000001</c:v>
                </c:pt>
                <c:pt idx="49">
                  <c:v>-0.59940999699999997</c:v>
                </c:pt>
                <c:pt idx="50">
                  <c:v>-0.64937001500000002</c:v>
                </c:pt>
                <c:pt idx="51">
                  <c:v>-0.69932001799999999</c:v>
                </c:pt>
                <c:pt idx="52">
                  <c:v>-0.74927002200000004</c:v>
                </c:pt>
                <c:pt idx="53">
                  <c:v>-0.79922002599999997</c:v>
                </c:pt>
                <c:pt idx="54">
                  <c:v>-0.84917002900000005</c:v>
                </c:pt>
                <c:pt idx="55">
                  <c:v>-0.89911997300000002</c:v>
                </c:pt>
                <c:pt idx="56">
                  <c:v>-0.90153998099999999</c:v>
                </c:pt>
                <c:pt idx="57">
                  <c:v>-0.85158997800000003</c:v>
                </c:pt>
                <c:pt idx="58">
                  <c:v>-0.80163997399999998</c:v>
                </c:pt>
                <c:pt idx="59">
                  <c:v>-0.75168001699999998</c:v>
                </c:pt>
                <c:pt idx="60">
                  <c:v>-0.70173001300000004</c:v>
                </c:pt>
                <c:pt idx="61">
                  <c:v>-0.65178000899999999</c:v>
                </c:pt>
                <c:pt idx="62">
                  <c:v>-0.60183000600000003</c:v>
                </c:pt>
                <c:pt idx="63">
                  <c:v>-0.55188000199999998</c:v>
                </c:pt>
                <c:pt idx="64">
                  <c:v>-0.50192999800000004</c:v>
                </c:pt>
                <c:pt idx="65">
                  <c:v>-0.45197999500000002</c:v>
                </c:pt>
                <c:pt idx="66">
                  <c:v>-0.40202999099999998</c:v>
                </c:pt>
                <c:pt idx="67">
                  <c:v>-0.35207998800000001</c:v>
                </c:pt>
                <c:pt idx="68">
                  <c:v>-0.30212</c:v>
                </c:pt>
                <c:pt idx="69">
                  <c:v>-0.25216999699999998</c:v>
                </c:pt>
                <c:pt idx="70">
                  <c:v>-0.20221999299999999</c:v>
                </c:pt>
                <c:pt idx="71">
                  <c:v>-0.15227000399999999</c:v>
                </c:pt>
                <c:pt idx="72">
                  <c:v>-0.10232000099999999</c:v>
                </c:pt>
                <c:pt idx="73">
                  <c:v>-5.2370000999999999E-2</c:v>
                </c:pt>
                <c:pt idx="74">
                  <c:v>-2.4199999999999998E-3</c:v>
                </c:pt>
              </c:numCache>
            </c:numRef>
          </c:xVal>
          <c:yVal>
            <c:numRef>
              <c:f>'IoT Biosensor'!$V$24:$V$98</c:f>
              <c:numCache>
                <c:formatCode>General</c:formatCode>
                <c:ptCount val="75"/>
                <c:pt idx="0">
                  <c:v>-8.6390004000000006E-2</c:v>
                </c:pt>
                <c:pt idx="1">
                  <c:v>-8.6125003500000005E-2</c:v>
                </c:pt>
                <c:pt idx="2">
                  <c:v>-8.5920003444444448E-2</c:v>
                </c:pt>
                <c:pt idx="3">
                  <c:v>-8.5376669777777789E-2</c:v>
                </c:pt>
                <c:pt idx="4">
                  <c:v>-8.4841114222222222E-2</c:v>
                </c:pt>
                <c:pt idx="5">
                  <c:v>-8.4292224999999998E-2</c:v>
                </c:pt>
                <c:pt idx="6">
                  <c:v>-8.3928890777777765E-2</c:v>
                </c:pt>
                <c:pt idx="7">
                  <c:v>-8.3701111555555541E-2</c:v>
                </c:pt>
                <c:pt idx="8">
                  <c:v>-8.358666555555555E-2</c:v>
                </c:pt>
                <c:pt idx="9">
                  <c:v>-8.3572220555555563E-2</c:v>
                </c:pt>
                <c:pt idx="10">
                  <c:v>-8.3654443444444448E-2</c:v>
                </c:pt>
                <c:pt idx="11">
                  <c:v>-8.3785555444444437E-2</c:v>
                </c:pt>
                <c:pt idx="12">
                  <c:v>-8.3897778444444446E-2</c:v>
                </c:pt>
                <c:pt idx="13">
                  <c:v>-8.3954445000000003E-2</c:v>
                </c:pt>
                <c:pt idx="14">
                  <c:v>-8.4026667555555545E-2</c:v>
                </c:pt>
                <c:pt idx="15">
                  <c:v>-8.4106667777777769E-2</c:v>
                </c:pt>
                <c:pt idx="16">
                  <c:v>-8.4191112777777785E-2</c:v>
                </c:pt>
                <c:pt idx="17">
                  <c:v>-8.4234446222222217E-2</c:v>
                </c:pt>
                <c:pt idx="18">
                  <c:v>-8.4255556999999995E-2</c:v>
                </c:pt>
                <c:pt idx="19">
                  <c:v>-8.4266667333333337E-2</c:v>
                </c:pt>
                <c:pt idx="20">
                  <c:v>-8.4272222111111114E-2</c:v>
                </c:pt>
                <c:pt idx="21">
                  <c:v>-8.4321110333333338E-2</c:v>
                </c:pt>
                <c:pt idx="22">
                  <c:v>-8.438999933333334E-2</c:v>
                </c:pt>
                <c:pt idx="23">
                  <c:v>-8.4468888666666672E-2</c:v>
                </c:pt>
                <c:pt idx="24">
                  <c:v>-8.4463334000000001E-2</c:v>
                </c:pt>
                <c:pt idx="25">
                  <c:v>-8.4415555888888882E-2</c:v>
                </c:pt>
                <c:pt idx="26">
                  <c:v>-8.4346666111111093E-2</c:v>
                </c:pt>
                <c:pt idx="27">
                  <c:v>-8.4311109333333342E-2</c:v>
                </c:pt>
                <c:pt idx="28">
                  <c:v>-8.4293331444444439E-2</c:v>
                </c:pt>
                <c:pt idx="29">
                  <c:v>-8.428444288888888E-2</c:v>
                </c:pt>
                <c:pt idx="30">
                  <c:v>-8.4281109999999992E-2</c:v>
                </c:pt>
                <c:pt idx="31">
                  <c:v>-8.4279998999999994E-2</c:v>
                </c:pt>
                <c:pt idx="32">
                  <c:v>-8.4279998999999994E-2</c:v>
                </c:pt>
                <c:pt idx="33">
                  <c:v>-8.4279998999999994E-2</c:v>
                </c:pt>
                <c:pt idx="34">
                  <c:v>-8.4279998999999994E-2</c:v>
                </c:pt>
                <c:pt idx="35">
                  <c:v>-8.4279998999999994E-2</c:v>
                </c:pt>
                <c:pt idx="36">
                  <c:v>-8.4279998999999994E-2</c:v>
                </c:pt>
                <c:pt idx="37">
                  <c:v>-8.4547776999999991E-2</c:v>
                </c:pt>
                <c:pt idx="38">
                  <c:v>-8.5352221999999991E-2</c:v>
                </c:pt>
                <c:pt idx="39">
                  <c:v>-8.6872222444444439E-2</c:v>
                </c:pt>
                <c:pt idx="40">
                  <c:v>-8.8706667222222216E-2</c:v>
                </c:pt>
                <c:pt idx="41">
                  <c:v>-9.0385556222222219E-2</c:v>
                </c:pt>
                <c:pt idx="42">
                  <c:v>-9.1538890333333331E-2</c:v>
                </c:pt>
                <c:pt idx="43">
                  <c:v>-9.2160002111111097E-2</c:v>
                </c:pt>
                <c:pt idx="44">
                  <c:v>-9.2380001999999975E-2</c:v>
                </c:pt>
                <c:pt idx="45">
                  <c:v>-9.2401111999999994E-2</c:v>
                </c:pt>
                <c:pt idx="46">
                  <c:v>-9.2367777333333331E-2</c:v>
                </c:pt>
                <c:pt idx="47">
                  <c:v>-9.2306666111111116E-2</c:v>
                </c:pt>
                <c:pt idx="48">
                  <c:v>-9.2185555333333336E-2</c:v>
                </c:pt>
                <c:pt idx="49">
                  <c:v>-9.1990000000000016E-2</c:v>
                </c:pt>
                <c:pt idx="50">
                  <c:v>-9.1803333111111121E-2</c:v>
                </c:pt>
                <c:pt idx="51">
                  <c:v>-9.1665555222222236E-2</c:v>
                </c:pt>
                <c:pt idx="52">
                  <c:v>-9.1596667000000007E-2</c:v>
                </c:pt>
                <c:pt idx="53">
                  <c:v>-9.1561112E-2</c:v>
                </c:pt>
                <c:pt idx="54">
                  <c:v>-9.1543335000000003E-2</c:v>
                </c:pt>
                <c:pt idx="55">
                  <c:v>-9.1490002222222214E-2</c:v>
                </c:pt>
                <c:pt idx="56">
                  <c:v>-9.1420002333333319E-2</c:v>
                </c:pt>
                <c:pt idx="57">
                  <c:v>-9.1341112999999988E-2</c:v>
                </c:pt>
                <c:pt idx="58">
                  <c:v>-9.1302223333333321E-2</c:v>
                </c:pt>
                <c:pt idx="59">
                  <c:v>-9.1282223444444435E-2</c:v>
                </c:pt>
                <c:pt idx="60">
                  <c:v>-9.1272223888888893E-2</c:v>
                </c:pt>
                <c:pt idx="61">
                  <c:v>-9.1311113444444467E-2</c:v>
                </c:pt>
                <c:pt idx="62">
                  <c:v>-9.1375557666666676E-2</c:v>
                </c:pt>
                <c:pt idx="63">
                  <c:v>-9.1451112444444441E-2</c:v>
                </c:pt>
                <c:pt idx="64">
                  <c:v>-9.1488888666666657E-2</c:v>
                </c:pt>
                <c:pt idx="65">
                  <c:v>-9.1506665111111107E-2</c:v>
                </c:pt>
                <c:pt idx="66">
                  <c:v>-9.1471108555555555E-2</c:v>
                </c:pt>
                <c:pt idx="67">
                  <c:v>-9.1363330888888886E-2</c:v>
                </c:pt>
                <c:pt idx="68">
                  <c:v>-9.1221109111111101E-2</c:v>
                </c:pt>
                <c:pt idx="69">
                  <c:v>-9.1151109999999994E-2</c:v>
                </c:pt>
                <c:pt idx="70">
                  <c:v>-9.1206665666666673E-2</c:v>
                </c:pt>
                <c:pt idx="71">
                  <c:v>-9.1323332555555567E-2</c:v>
                </c:pt>
                <c:pt idx="72">
                  <c:v>-9.1202221666666652E-2</c:v>
                </c:pt>
                <c:pt idx="73">
                  <c:v>-9.060444500000002E-2</c:v>
                </c:pt>
                <c:pt idx="74">
                  <c:v>-8.6390004000000006E-2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A5-4716-9F37-413F5103CCE2}"/>
            </c:ext>
          </c:extLst>
        </c:ser>
        <c:ser>
          <c:idx val="4"/>
          <c:order val="3"/>
          <c:tx>
            <c:strRef>
              <c:f>'IoT Biosensor'!$J$22:$K$22</c:f>
              <c:strCache>
                <c:ptCount val="1"/>
                <c:pt idx="0">
                  <c:v>45% APAP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'IoT Biosensor'!$O$24:$O$98</c:f>
              <c:numCache>
                <c:formatCode>General</c:formatCode>
                <c:ptCount val="75"/>
                <c:pt idx="0">
                  <c:v>-2.4199999999999998E-3</c:v>
                </c:pt>
                <c:pt idx="1">
                  <c:v>4.7529999000000003E-2</c:v>
                </c:pt>
                <c:pt idx="2">
                  <c:v>9.7489997999999994E-2</c:v>
                </c:pt>
                <c:pt idx="3">
                  <c:v>0.14744000099999999</c:v>
                </c:pt>
                <c:pt idx="4">
                  <c:v>0.19739000500000001</c:v>
                </c:pt>
                <c:pt idx="5">
                  <c:v>0.24733999400000001</c:v>
                </c:pt>
                <c:pt idx="6">
                  <c:v>0.29728999699999997</c:v>
                </c:pt>
                <c:pt idx="7">
                  <c:v>0.34724000100000002</c:v>
                </c:pt>
                <c:pt idx="8">
                  <c:v>0.39719000500000001</c:v>
                </c:pt>
                <c:pt idx="9">
                  <c:v>0.44714000799999998</c:v>
                </c:pt>
                <c:pt idx="10">
                  <c:v>0.49709001200000003</c:v>
                </c:pt>
                <c:pt idx="11">
                  <c:v>0.54704999899999995</c:v>
                </c:pt>
                <c:pt idx="12">
                  <c:v>0.597000003</c:v>
                </c:pt>
                <c:pt idx="13">
                  <c:v>0.64695000599999997</c:v>
                </c:pt>
                <c:pt idx="14">
                  <c:v>0.69690001000000001</c:v>
                </c:pt>
                <c:pt idx="15">
                  <c:v>0.74685001399999995</c:v>
                </c:pt>
                <c:pt idx="16">
                  <c:v>0.79680001700000003</c:v>
                </c:pt>
                <c:pt idx="17">
                  <c:v>0.84675002099999996</c:v>
                </c:pt>
                <c:pt idx="18">
                  <c:v>0.89670002500000001</c:v>
                </c:pt>
                <c:pt idx="19">
                  <c:v>0.89911997300000002</c:v>
                </c:pt>
                <c:pt idx="20">
                  <c:v>0.84917002900000005</c:v>
                </c:pt>
                <c:pt idx="21">
                  <c:v>0.79922002599999997</c:v>
                </c:pt>
                <c:pt idx="22">
                  <c:v>0.74927002200000004</c:v>
                </c:pt>
                <c:pt idx="23">
                  <c:v>0.69932001799999999</c:v>
                </c:pt>
                <c:pt idx="24">
                  <c:v>0.64937001500000002</c:v>
                </c:pt>
                <c:pt idx="25">
                  <c:v>0.59940999699999997</c:v>
                </c:pt>
                <c:pt idx="26">
                  <c:v>0.54945999400000001</c:v>
                </c:pt>
                <c:pt idx="27">
                  <c:v>0.49950999000000001</c:v>
                </c:pt>
                <c:pt idx="28">
                  <c:v>0.44955998699999999</c:v>
                </c:pt>
                <c:pt idx="29">
                  <c:v>0.39961001299999999</c:v>
                </c:pt>
                <c:pt idx="30">
                  <c:v>0.34966000899999999</c:v>
                </c:pt>
                <c:pt idx="31">
                  <c:v>0.29971000599999997</c:v>
                </c:pt>
                <c:pt idx="32">
                  <c:v>0.24976000200000001</c:v>
                </c:pt>
                <c:pt idx="33">
                  <c:v>0.19980000000000001</c:v>
                </c:pt>
                <c:pt idx="34">
                  <c:v>0.14984999600000001</c:v>
                </c:pt>
                <c:pt idx="35">
                  <c:v>9.9900000000000003E-2</c:v>
                </c:pt>
                <c:pt idx="36">
                  <c:v>4.9950000000000001E-2</c:v>
                </c:pt>
                <c:pt idx="37">
                  <c:v>0</c:v>
                </c:pt>
                <c:pt idx="38">
                  <c:v>-4.9950000000000001E-2</c:v>
                </c:pt>
                <c:pt idx="39">
                  <c:v>-9.9900000000000003E-2</c:v>
                </c:pt>
                <c:pt idx="40">
                  <c:v>-0.14984999600000001</c:v>
                </c:pt>
                <c:pt idx="41">
                  <c:v>-0.19980000000000001</c:v>
                </c:pt>
                <c:pt idx="42">
                  <c:v>-0.24976000200000001</c:v>
                </c:pt>
                <c:pt idx="43">
                  <c:v>-0.29971000599999997</c:v>
                </c:pt>
                <c:pt idx="44">
                  <c:v>-0.34966000899999999</c:v>
                </c:pt>
                <c:pt idx="45">
                  <c:v>-0.39961001299999999</c:v>
                </c:pt>
                <c:pt idx="46">
                  <c:v>-0.44955998699999999</c:v>
                </c:pt>
                <c:pt idx="47">
                  <c:v>-0.49950999000000001</c:v>
                </c:pt>
                <c:pt idx="48">
                  <c:v>-0.54945999400000001</c:v>
                </c:pt>
                <c:pt idx="49">
                  <c:v>-0.59940999699999997</c:v>
                </c:pt>
                <c:pt idx="50">
                  <c:v>-0.64937001500000002</c:v>
                </c:pt>
                <c:pt idx="51">
                  <c:v>-0.69932001799999999</c:v>
                </c:pt>
                <c:pt idx="52">
                  <c:v>-0.74927002200000004</c:v>
                </c:pt>
                <c:pt idx="53">
                  <c:v>-0.79922002599999997</c:v>
                </c:pt>
                <c:pt idx="54">
                  <c:v>-0.84917002900000005</c:v>
                </c:pt>
                <c:pt idx="55">
                  <c:v>-0.89911997300000002</c:v>
                </c:pt>
                <c:pt idx="56">
                  <c:v>-0.90153998099999999</c:v>
                </c:pt>
                <c:pt idx="57">
                  <c:v>-0.85158997800000003</c:v>
                </c:pt>
                <c:pt idx="58">
                  <c:v>-0.80163997399999998</c:v>
                </c:pt>
                <c:pt idx="59">
                  <c:v>-0.75168001699999998</c:v>
                </c:pt>
                <c:pt idx="60">
                  <c:v>-0.70173001300000004</c:v>
                </c:pt>
                <c:pt idx="61">
                  <c:v>-0.65178000899999999</c:v>
                </c:pt>
                <c:pt idx="62">
                  <c:v>-0.60183000600000003</c:v>
                </c:pt>
                <c:pt idx="63">
                  <c:v>-0.55188000199999998</c:v>
                </c:pt>
                <c:pt idx="64">
                  <c:v>-0.50192999800000004</c:v>
                </c:pt>
                <c:pt idx="65">
                  <c:v>-0.45197999500000002</c:v>
                </c:pt>
                <c:pt idx="66">
                  <c:v>-0.40202999099999998</c:v>
                </c:pt>
                <c:pt idx="67">
                  <c:v>-0.35207998800000001</c:v>
                </c:pt>
                <c:pt idx="68">
                  <c:v>-0.30212</c:v>
                </c:pt>
                <c:pt idx="69">
                  <c:v>-0.25216999699999998</c:v>
                </c:pt>
                <c:pt idx="70">
                  <c:v>-0.20221999299999999</c:v>
                </c:pt>
                <c:pt idx="71">
                  <c:v>-0.15227000399999999</c:v>
                </c:pt>
                <c:pt idx="72">
                  <c:v>-0.10232000099999999</c:v>
                </c:pt>
                <c:pt idx="73">
                  <c:v>-5.2370000999999999E-2</c:v>
                </c:pt>
                <c:pt idx="74">
                  <c:v>-2.4199999999999998E-3</c:v>
                </c:pt>
              </c:numCache>
            </c:numRef>
          </c:xVal>
          <c:yVal>
            <c:numRef>
              <c:f>'IoT Biosensor'!$X$24:$X$98</c:f>
              <c:numCache>
                <c:formatCode>General</c:formatCode>
                <c:ptCount val="75"/>
                <c:pt idx="0">
                  <c:v>-8.3820000000000006E-2</c:v>
                </c:pt>
                <c:pt idx="1">
                  <c:v>-8.3677500250000009E-2</c:v>
                </c:pt>
                <c:pt idx="2">
                  <c:v>-8.3610555944444456E-2</c:v>
                </c:pt>
                <c:pt idx="3">
                  <c:v>-8.3451667388888914E-2</c:v>
                </c:pt>
                <c:pt idx="4">
                  <c:v>-8.3408889444444453E-2</c:v>
                </c:pt>
                <c:pt idx="5">
                  <c:v>-8.3441111555555558E-2</c:v>
                </c:pt>
                <c:pt idx="6">
                  <c:v>-8.3589999777777771E-2</c:v>
                </c:pt>
                <c:pt idx="7">
                  <c:v>-8.3798888444444442E-2</c:v>
                </c:pt>
                <c:pt idx="8">
                  <c:v>-8.399333211111111E-2</c:v>
                </c:pt>
                <c:pt idx="9">
                  <c:v>-8.4135554666666668E-2</c:v>
                </c:pt>
                <c:pt idx="10">
                  <c:v>-8.4206666333333333E-2</c:v>
                </c:pt>
                <c:pt idx="11">
                  <c:v>-8.4241112000000007E-2</c:v>
                </c:pt>
                <c:pt idx="12">
                  <c:v>-8.4257778888888898E-2</c:v>
                </c:pt>
                <c:pt idx="13">
                  <c:v>-8.4266667333333337E-2</c:v>
                </c:pt>
                <c:pt idx="14">
                  <c:v>-8.4272222111111114E-2</c:v>
                </c:pt>
                <c:pt idx="15">
                  <c:v>-8.4276666E-2</c:v>
                </c:pt>
                <c:pt idx="16">
                  <c:v>-8.4278887999999996E-2</c:v>
                </c:pt>
                <c:pt idx="17">
                  <c:v>-8.4324443333333332E-2</c:v>
                </c:pt>
                <c:pt idx="18">
                  <c:v>-8.4391110333333338E-2</c:v>
                </c:pt>
                <c:pt idx="19">
                  <c:v>-8.451333300000001E-2</c:v>
                </c:pt>
                <c:pt idx="20">
                  <c:v>-8.4618889666666655E-2</c:v>
                </c:pt>
                <c:pt idx="21">
                  <c:v>-8.4761112222222212E-2</c:v>
                </c:pt>
                <c:pt idx="22">
                  <c:v>-8.4832223111111105E-2</c:v>
                </c:pt>
                <c:pt idx="23">
                  <c:v>-8.4867777222222218E-2</c:v>
                </c:pt>
                <c:pt idx="24">
                  <c:v>-8.4839998000000014E-2</c:v>
                </c:pt>
                <c:pt idx="25">
                  <c:v>-8.4871108222222227E-2</c:v>
                </c:pt>
                <c:pt idx="26">
                  <c:v>-8.4932219444444457E-2</c:v>
                </c:pt>
                <c:pt idx="27">
                  <c:v>-8.5008886777777778E-2</c:v>
                </c:pt>
                <c:pt idx="28">
                  <c:v>-8.5047776333333325E-2</c:v>
                </c:pt>
                <c:pt idx="29">
                  <c:v>-8.5066665333333333E-2</c:v>
                </c:pt>
                <c:pt idx="30">
                  <c:v>-8.5075553999999998E-2</c:v>
                </c:pt>
                <c:pt idx="31">
                  <c:v>-8.5078886999999992E-2</c:v>
                </c:pt>
                <c:pt idx="32">
                  <c:v>-8.5079998000000004E-2</c:v>
                </c:pt>
                <c:pt idx="33">
                  <c:v>-8.5079998000000004E-2</c:v>
                </c:pt>
                <c:pt idx="34">
                  <c:v>-8.5079998000000004E-2</c:v>
                </c:pt>
                <c:pt idx="35">
                  <c:v>-8.5079998000000004E-2</c:v>
                </c:pt>
                <c:pt idx="36">
                  <c:v>-8.5079998000000004E-2</c:v>
                </c:pt>
                <c:pt idx="37">
                  <c:v>-8.5079998000000004E-2</c:v>
                </c:pt>
                <c:pt idx="38">
                  <c:v>-8.5214442888888894E-2</c:v>
                </c:pt>
                <c:pt idx="39">
                  <c:v>-8.5729999000000001E-2</c:v>
                </c:pt>
                <c:pt idx="40">
                  <c:v>-8.6838888666666669E-2</c:v>
                </c:pt>
                <c:pt idx="41">
                  <c:v>-8.8423333111111113E-2</c:v>
                </c:pt>
                <c:pt idx="42">
                  <c:v>-9.0065555222222218E-2</c:v>
                </c:pt>
                <c:pt idx="43">
                  <c:v>-9.1334443666666668E-2</c:v>
                </c:pt>
                <c:pt idx="44">
                  <c:v>-9.2103332888888889E-2</c:v>
                </c:pt>
                <c:pt idx="45">
                  <c:v>-9.24877778888889E-2</c:v>
                </c:pt>
                <c:pt idx="46">
                  <c:v>-9.2678889555555574E-2</c:v>
                </c:pt>
                <c:pt idx="47">
                  <c:v>-9.2728889666666661E-2</c:v>
                </c:pt>
                <c:pt idx="48">
                  <c:v>-9.2620000444444447E-2</c:v>
                </c:pt>
                <c:pt idx="49">
                  <c:v>-9.2387778333333337E-2</c:v>
                </c:pt>
                <c:pt idx="50">
                  <c:v>-9.2093333888888892E-2</c:v>
                </c:pt>
                <c:pt idx="51">
                  <c:v>-9.1856667777777776E-2</c:v>
                </c:pt>
                <c:pt idx="52">
                  <c:v>-9.1693334444444441E-2</c:v>
                </c:pt>
                <c:pt idx="53">
                  <c:v>-9.1611112222222221E-2</c:v>
                </c:pt>
                <c:pt idx="54">
                  <c:v>-9.1570000666666651E-2</c:v>
                </c:pt>
                <c:pt idx="55">
                  <c:v>-9.1504445333333309E-2</c:v>
                </c:pt>
                <c:pt idx="56">
                  <c:v>-9.1383334444444422E-2</c:v>
                </c:pt>
                <c:pt idx="57">
                  <c:v>-9.1187779111111103E-2</c:v>
                </c:pt>
                <c:pt idx="58">
                  <c:v>-9.1000000666666678E-2</c:v>
                </c:pt>
                <c:pt idx="59">
                  <c:v>-9.0860000222222237E-2</c:v>
                </c:pt>
                <c:pt idx="60">
                  <c:v>-9.0791111333333341E-2</c:v>
                </c:pt>
                <c:pt idx="61">
                  <c:v>-9.0757778222222238E-2</c:v>
                </c:pt>
                <c:pt idx="62">
                  <c:v>-9.0742222333333344E-2</c:v>
                </c:pt>
                <c:pt idx="63">
                  <c:v>-9.0733332222222227E-2</c:v>
                </c:pt>
                <c:pt idx="64">
                  <c:v>-9.0727775777777783E-2</c:v>
                </c:pt>
                <c:pt idx="65">
                  <c:v>-9.0723331000000004E-2</c:v>
                </c:pt>
                <c:pt idx="66">
                  <c:v>-9.0721109000000008E-2</c:v>
                </c:pt>
                <c:pt idx="67">
                  <c:v>-9.071999800000001E-2</c:v>
                </c:pt>
                <c:pt idx="68">
                  <c:v>-9.071999800000001E-2</c:v>
                </c:pt>
                <c:pt idx="69">
                  <c:v>-9.071999800000001E-2</c:v>
                </c:pt>
                <c:pt idx="70">
                  <c:v>-9.071999800000001E-2</c:v>
                </c:pt>
                <c:pt idx="71">
                  <c:v>-9.0496665222222217E-2</c:v>
                </c:pt>
                <c:pt idx="72">
                  <c:v>-8.9803332444444453E-2</c:v>
                </c:pt>
                <c:pt idx="73">
                  <c:v>-8.8472222555555549E-2</c:v>
                </c:pt>
                <c:pt idx="74">
                  <c:v>-8.3820000000000006E-2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A5-4716-9F37-413F5103CCE2}"/>
            </c:ext>
          </c:extLst>
        </c:ser>
        <c:ser>
          <c:idx val="5"/>
          <c:order val="4"/>
          <c:tx>
            <c:strRef>
              <c:f>'IoT Biosensor'!$L$22:$M$22</c:f>
              <c:strCache>
                <c:ptCount val="1"/>
                <c:pt idx="0">
                  <c:v>60% APAP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'IoT Biosensor'!$O$24:$O$98</c:f>
              <c:numCache>
                <c:formatCode>General</c:formatCode>
                <c:ptCount val="75"/>
                <c:pt idx="0">
                  <c:v>-2.4199999999999998E-3</c:v>
                </c:pt>
                <c:pt idx="1">
                  <c:v>4.7529999000000003E-2</c:v>
                </c:pt>
                <c:pt idx="2">
                  <c:v>9.7489997999999994E-2</c:v>
                </c:pt>
                <c:pt idx="3">
                  <c:v>0.14744000099999999</c:v>
                </c:pt>
                <c:pt idx="4">
                  <c:v>0.19739000500000001</c:v>
                </c:pt>
                <c:pt idx="5">
                  <c:v>0.24733999400000001</c:v>
                </c:pt>
                <c:pt idx="6">
                  <c:v>0.29728999699999997</c:v>
                </c:pt>
                <c:pt idx="7">
                  <c:v>0.34724000100000002</c:v>
                </c:pt>
                <c:pt idx="8">
                  <c:v>0.39719000500000001</c:v>
                </c:pt>
                <c:pt idx="9">
                  <c:v>0.44714000799999998</c:v>
                </c:pt>
                <c:pt idx="10">
                  <c:v>0.49709001200000003</c:v>
                </c:pt>
                <c:pt idx="11">
                  <c:v>0.54704999899999995</c:v>
                </c:pt>
                <c:pt idx="12">
                  <c:v>0.597000003</c:v>
                </c:pt>
                <c:pt idx="13">
                  <c:v>0.64695000599999997</c:v>
                </c:pt>
                <c:pt idx="14">
                  <c:v>0.69690001000000001</c:v>
                </c:pt>
                <c:pt idx="15">
                  <c:v>0.74685001399999995</c:v>
                </c:pt>
                <c:pt idx="16">
                  <c:v>0.79680001700000003</c:v>
                </c:pt>
                <c:pt idx="17">
                  <c:v>0.84675002099999996</c:v>
                </c:pt>
                <c:pt idx="18">
                  <c:v>0.89670002500000001</c:v>
                </c:pt>
                <c:pt idx="19">
                  <c:v>0.89911997300000002</c:v>
                </c:pt>
                <c:pt idx="20">
                  <c:v>0.84917002900000005</c:v>
                </c:pt>
                <c:pt idx="21">
                  <c:v>0.79922002599999997</c:v>
                </c:pt>
                <c:pt idx="22">
                  <c:v>0.74927002200000004</c:v>
                </c:pt>
                <c:pt idx="23">
                  <c:v>0.69932001799999999</c:v>
                </c:pt>
                <c:pt idx="24">
                  <c:v>0.64937001500000002</c:v>
                </c:pt>
                <c:pt idx="25">
                  <c:v>0.59940999699999997</c:v>
                </c:pt>
                <c:pt idx="26">
                  <c:v>0.54945999400000001</c:v>
                </c:pt>
                <c:pt idx="27">
                  <c:v>0.49950999000000001</c:v>
                </c:pt>
                <c:pt idx="28">
                  <c:v>0.44955998699999999</c:v>
                </c:pt>
                <c:pt idx="29">
                  <c:v>0.39961001299999999</c:v>
                </c:pt>
                <c:pt idx="30">
                  <c:v>0.34966000899999999</c:v>
                </c:pt>
                <c:pt idx="31">
                  <c:v>0.29971000599999997</c:v>
                </c:pt>
                <c:pt idx="32">
                  <c:v>0.24976000200000001</c:v>
                </c:pt>
                <c:pt idx="33">
                  <c:v>0.19980000000000001</c:v>
                </c:pt>
                <c:pt idx="34">
                  <c:v>0.14984999600000001</c:v>
                </c:pt>
                <c:pt idx="35">
                  <c:v>9.9900000000000003E-2</c:v>
                </c:pt>
                <c:pt idx="36">
                  <c:v>4.9950000000000001E-2</c:v>
                </c:pt>
                <c:pt idx="37">
                  <c:v>0</c:v>
                </c:pt>
                <c:pt idx="38">
                  <c:v>-4.9950000000000001E-2</c:v>
                </c:pt>
                <c:pt idx="39">
                  <c:v>-9.9900000000000003E-2</c:v>
                </c:pt>
                <c:pt idx="40">
                  <c:v>-0.14984999600000001</c:v>
                </c:pt>
                <c:pt idx="41">
                  <c:v>-0.19980000000000001</c:v>
                </c:pt>
                <c:pt idx="42">
                  <c:v>-0.24976000200000001</c:v>
                </c:pt>
                <c:pt idx="43">
                  <c:v>-0.29971000599999997</c:v>
                </c:pt>
                <c:pt idx="44">
                  <c:v>-0.34966000899999999</c:v>
                </c:pt>
                <c:pt idx="45">
                  <c:v>-0.39961001299999999</c:v>
                </c:pt>
                <c:pt idx="46">
                  <c:v>-0.44955998699999999</c:v>
                </c:pt>
                <c:pt idx="47">
                  <c:v>-0.49950999000000001</c:v>
                </c:pt>
                <c:pt idx="48">
                  <c:v>-0.54945999400000001</c:v>
                </c:pt>
                <c:pt idx="49">
                  <c:v>-0.59940999699999997</c:v>
                </c:pt>
                <c:pt idx="50">
                  <c:v>-0.64937001500000002</c:v>
                </c:pt>
                <c:pt idx="51">
                  <c:v>-0.69932001799999999</c:v>
                </c:pt>
                <c:pt idx="52">
                  <c:v>-0.74927002200000004</c:v>
                </c:pt>
                <c:pt idx="53">
                  <c:v>-0.79922002599999997</c:v>
                </c:pt>
                <c:pt idx="54">
                  <c:v>-0.84917002900000005</c:v>
                </c:pt>
                <c:pt idx="55">
                  <c:v>-0.89911997300000002</c:v>
                </c:pt>
                <c:pt idx="56">
                  <c:v>-0.90153998099999999</c:v>
                </c:pt>
                <c:pt idx="57">
                  <c:v>-0.85158997800000003</c:v>
                </c:pt>
                <c:pt idx="58">
                  <c:v>-0.80163997399999998</c:v>
                </c:pt>
                <c:pt idx="59">
                  <c:v>-0.75168001699999998</c:v>
                </c:pt>
                <c:pt idx="60">
                  <c:v>-0.70173001300000004</c:v>
                </c:pt>
                <c:pt idx="61">
                  <c:v>-0.65178000899999999</c:v>
                </c:pt>
                <c:pt idx="62">
                  <c:v>-0.60183000600000003</c:v>
                </c:pt>
                <c:pt idx="63">
                  <c:v>-0.55188000199999998</c:v>
                </c:pt>
                <c:pt idx="64">
                  <c:v>-0.50192999800000004</c:v>
                </c:pt>
                <c:pt idx="65">
                  <c:v>-0.45197999500000002</c:v>
                </c:pt>
                <c:pt idx="66">
                  <c:v>-0.40202999099999998</c:v>
                </c:pt>
                <c:pt idx="67">
                  <c:v>-0.35207998800000001</c:v>
                </c:pt>
                <c:pt idx="68">
                  <c:v>-0.30212</c:v>
                </c:pt>
                <c:pt idx="69">
                  <c:v>-0.25216999699999998</c:v>
                </c:pt>
                <c:pt idx="70">
                  <c:v>-0.20221999299999999</c:v>
                </c:pt>
                <c:pt idx="71">
                  <c:v>-0.15227000399999999</c:v>
                </c:pt>
                <c:pt idx="72">
                  <c:v>-0.10232000099999999</c:v>
                </c:pt>
                <c:pt idx="73">
                  <c:v>-5.2370000999999999E-2</c:v>
                </c:pt>
                <c:pt idx="74">
                  <c:v>-2.4199999999999998E-3</c:v>
                </c:pt>
              </c:numCache>
            </c:numRef>
          </c:xVal>
          <c:yVal>
            <c:numRef>
              <c:f>'IoT Biosensor'!$Y$24:$Y$98</c:f>
              <c:numCache>
                <c:formatCode>General</c:formatCode>
                <c:ptCount val="75"/>
                <c:pt idx="0">
                  <c:v>-8.6070000999999993E-2</c:v>
                </c:pt>
                <c:pt idx="1">
                  <c:v>-8.5542499999999994E-2</c:v>
                </c:pt>
                <c:pt idx="2">
                  <c:v>-8.5043888999999998E-2</c:v>
                </c:pt>
                <c:pt idx="3">
                  <c:v>-8.3826110777777782E-2</c:v>
                </c:pt>
                <c:pt idx="4">
                  <c:v>-8.2598889222222235E-2</c:v>
                </c:pt>
                <c:pt idx="5">
                  <c:v>-8.151333377777778E-2</c:v>
                </c:pt>
                <c:pt idx="6">
                  <c:v>-8.0881112111111098E-2</c:v>
                </c:pt>
                <c:pt idx="7">
                  <c:v>-8.0565556777777783E-2</c:v>
                </c:pt>
                <c:pt idx="8">
                  <c:v>-8.0408890000000011E-2</c:v>
                </c:pt>
                <c:pt idx="9">
                  <c:v>-8.0330000777777785E-2</c:v>
                </c:pt>
                <c:pt idx="10">
                  <c:v>-8.0290000222222227E-2</c:v>
                </c:pt>
                <c:pt idx="11">
                  <c:v>-8.0268889444444436E-2</c:v>
                </c:pt>
                <c:pt idx="12">
                  <c:v>-8.0258889888888893E-2</c:v>
                </c:pt>
                <c:pt idx="13">
                  <c:v>-8.0253334999999995E-2</c:v>
                </c:pt>
                <c:pt idx="14">
                  <c:v>-8.0251112999999999E-2</c:v>
                </c:pt>
                <c:pt idx="15">
                  <c:v>-8.0250002000000001E-2</c:v>
                </c:pt>
                <c:pt idx="16">
                  <c:v>-8.0250002000000001E-2</c:v>
                </c:pt>
                <c:pt idx="17">
                  <c:v>-8.0294446444444445E-2</c:v>
                </c:pt>
                <c:pt idx="18">
                  <c:v>-8.0361112666666665E-2</c:v>
                </c:pt>
                <c:pt idx="19">
                  <c:v>-8.048333455555555E-2</c:v>
                </c:pt>
                <c:pt idx="20">
                  <c:v>-8.0588889444444436E-2</c:v>
                </c:pt>
                <c:pt idx="21">
                  <c:v>-8.0731111999999994E-2</c:v>
                </c:pt>
                <c:pt idx="22">
                  <c:v>-8.0802223000000006E-2</c:v>
                </c:pt>
                <c:pt idx="23">
                  <c:v>-8.0837778888888892E-2</c:v>
                </c:pt>
                <c:pt idx="24">
                  <c:v>-8.0810000666666673E-2</c:v>
                </c:pt>
                <c:pt idx="25">
                  <c:v>-8.0841111666666673E-2</c:v>
                </c:pt>
                <c:pt idx="26">
                  <c:v>-8.0902222111111102E-2</c:v>
                </c:pt>
                <c:pt idx="27">
                  <c:v>-8.0978888444444438E-2</c:v>
                </c:pt>
                <c:pt idx="28">
                  <c:v>-8.1017777111111092E-2</c:v>
                </c:pt>
                <c:pt idx="29">
                  <c:v>-8.1036666777777766E-2</c:v>
                </c:pt>
                <c:pt idx="30">
                  <c:v>-8.1045556222222204E-2</c:v>
                </c:pt>
                <c:pt idx="31">
                  <c:v>-8.1048889999999985E-2</c:v>
                </c:pt>
                <c:pt idx="32">
                  <c:v>-8.1050000999999997E-2</c:v>
                </c:pt>
                <c:pt idx="33">
                  <c:v>-8.1050000999999997E-2</c:v>
                </c:pt>
                <c:pt idx="34">
                  <c:v>-8.1050000999999997E-2</c:v>
                </c:pt>
                <c:pt idx="35">
                  <c:v>-8.1050000999999997E-2</c:v>
                </c:pt>
                <c:pt idx="36">
                  <c:v>-8.1050000999999997E-2</c:v>
                </c:pt>
                <c:pt idx="37">
                  <c:v>-8.1543334555555555E-2</c:v>
                </c:pt>
                <c:pt idx="38">
                  <c:v>-8.3044446111111114E-2</c:v>
                </c:pt>
                <c:pt idx="39">
                  <c:v>-8.5944446444444447E-2</c:v>
                </c:pt>
                <c:pt idx="40">
                  <c:v>-8.9542224333333323E-2</c:v>
                </c:pt>
                <c:pt idx="41">
                  <c:v>-9.2996668666666657E-2</c:v>
                </c:pt>
                <c:pt idx="42">
                  <c:v>-9.5618890555555544E-2</c:v>
                </c:pt>
                <c:pt idx="43">
                  <c:v>-9.7377778888888877E-2</c:v>
                </c:pt>
                <c:pt idx="44">
                  <c:v>-9.8391111666666656E-2</c:v>
                </c:pt>
                <c:pt idx="45">
                  <c:v>-9.8853334000000001E-2</c:v>
                </c:pt>
                <c:pt idx="46">
                  <c:v>-9.8905556666666672E-2</c:v>
                </c:pt>
                <c:pt idx="47">
                  <c:v>-9.8797779000000016E-2</c:v>
                </c:pt>
                <c:pt idx="48">
                  <c:v>-9.8608889444444459E-2</c:v>
                </c:pt>
                <c:pt idx="49">
                  <c:v>-9.8469999888888896E-2</c:v>
                </c:pt>
                <c:pt idx="50">
                  <c:v>-9.8266666111111123E-2</c:v>
                </c:pt>
                <c:pt idx="51">
                  <c:v>-9.8031111111111111E-2</c:v>
                </c:pt>
                <c:pt idx="52">
                  <c:v>-9.7734444777777776E-2</c:v>
                </c:pt>
                <c:pt idx="53">
                  <c:v>-9.7496667777777768E-2</c:v>
                </c:pt>
                <c:pt idx="54">
                  <c:v>-9.7333334444444433E-2</c:v>
                </c:pt>
                <c:pt idx="55">
                  <c:v>-9.720666788888889E-2</c:v>
                </c:pt>
                <c:pt idx="56">
                  <c:v>-9.7053334111111111E-2</c:v>
                </c:pt>
                <c:pt idx="57">
                  <c:v>-9.6842222666666686E-2</c:v>
                </c:pt>
                <c:pt idx="58">
                  <c:v>-9.664666644444446E-2</c:v>
                </c:pt>
                <c:pt idx="59">
                  <c:v>-9.6504443888888888E-2</c:v>
                </c:pt>
                <c:pt idx="60">
                  <c:v>-9.6433333111111116E-2</c:v>
                </c:pt>
                <c:pt idx="61">
                  <c:v>-9.6398889111111108E-2</c:v>
                </c:pt>
                <c:pt idx="62">
                  <c:v>-9.6336667000000001E-2</c:v>
                </c:pt>
                <c:pt idx="63">
                  <c:v>-9.6259999777777772E-2</c:v>
                </c:pt>
                <c:pt idx="64">
                  <c:v>-9.6175554888888889E-2</c:v>
                </c:pt>
                <c:pt idx="65">
                  <c:v>-9.6177776666666659E-2</c:v>
                </c:pt>
                <c:pt idx="66">
                  <c:v>-9.6224442888888886E-2</c:v>
                </c:pt>
                <c:pt idx="67">
                  <c:v>-9.6293331777777783E-2</c:v>
                </c:pt>
                <c:pt idx="68">
                  <c:v>-9.6283332333333346E-2</c:v>
                </c:pt>
                <c:pt idx="69">
                  <c:v>-9.6233333111111111E-2</c:v>
                </c:pt>
                <c:pt idx="70">
                  <c:v>-9.6163333222222216E-2</c:v>
                </c:pt>
                <c:pt idx="71">
                  <c:v>-9.6128888333333329E-2</c:v>
                </c:pt>
                <c:pt idx="72">
                  <c:v>-9.5664443222222215E-2</c:v>
                </c:pt>
                <c:pt idx="73">
                  <c:v>-9.4358887999999988E-2</c:v>
                </c:pt>
                <c:pt idx="74">
                  <c:v>-8.6070000999999993E-2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A5-4716-9F37-413F5103C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676736"/>
        <c:axId val="19286775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v>30% APAP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'IoT Biosensor'!$O$28:$O$94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0.19739000500000001</c:v>
                      </c:pt>
                      <c:pt idx="1">
                        <c:v>0.24733999400000001</c:v>
                      </c:pt>
                      <c:pt idx="2">
                        <c:v>0.29728999699999997</c:v>
                      </c:pt>
                      <c:pt idx="3">
                        <c:v>0.34724000100000002</c:v>
                      </c:pt>
                      <c:pt idx="4">
                        <c:v>0.39719000500000001</c:v>
                      </c:pt>
                      <c:pt idx="5">
                        <c:v>0.44714000799999998</c:v>
                      </c:pt>
                      <c:pt idx="6">
                        <c:v>0.49709001200000003</c:v>
                      </c:pt>
                      <c:pt idx="7">
                        <c:v>0.54704999899999995</c:v>
                      </c:pt>
                      <c:pt idx="8">
                        <c:v>0.597000003</c:v>
                      </c:pt>
                      <c:pt idx="9">
                        <c:v>0.64695000599999997</c:v>
                      </c:pt>
                      <c:pt idx="10">
                        <c:v>0.69690001000000001</c:v>
                      </c:pt>
                      <c:pt idx="11">
                        <c:v>0.74685001399999995</c:v>
                      </c:pt>
                      <c:pt idx="12">
                        <c:v>0.79680001700000003</c:v>
                      </c:pt>
                      <c:pt idx="13">
                        <c:v>0.84675002099999996</c:v>
                      </c:pt>
                      <c:pt idx="14">
                        <c:v>0.89670002500000001</c:v>
                      </c:pt>
                      <c:pt idx="15">
                        <c:v>0.89911997300000002</c:v>
                      </c:pt>
                      <c:pt idx="16">
                        <c:v>0.84917002900000005</c:v>
                      </c:pt>
                      <c:pt idx="17">
                        <c:v>0.79922002599999997</c:v>
                      </c:pt>
                      <c:pt idx="18">
                        <c:v>0.74927002200000004</c:v>
                      </c:pt>
                      <c:pt idx="19">
                        <c:v>0.69932001799999999</c:v>
                      </c:pt>
                      <c:pt idx="20">
                        <c:v>0.64937001500000002</c:v>
                      </c:pt>
                      <c:pt idx="21">
                        <c:v>0.59940999699999997</c:v>
                      </c:pt>
                      <c:pt idx="22">
                        <c:v>0.54945999400000001</c:v>
                      </c:pt>
                      <c:pt idx="23">
                        <c:v>0.49950999000000001</c:v>
                      </c:pt>
                      <c:pt idx="24">
                        <c:v>0.44955998699999999</c:v>
                      </c:pt>
                      <c:pt idx="25">
                        <c:v>0.39961001299999999</c:v>
                      </c:pt>
                      <c:pt idx="26">
                        <c:v>0.34966000899999999</c:v>
                      </c:pt>
                      <c:pt idx="27">
                        <c:v>0.29971000599999997</c:v>
                      </c:pt>
                      <c:pt idx="28">
                        <c:v>0.24976000200000001</c:v>
                      </c:pt>
                      <c:pt idx="29">
                        <c:v>0.19980000000000001</c:v>
                      </c:pt>
                      <c:pt idx="30">
                        <c:v>0.14984999600000001</c:v>
                      </c:pt>
                      <c:pt idx="31">
                        <c:v>9.9900000000000003E-2</c:v>
                      </c:pt>
                      <c:pt idx="32">
                        <c:v>4.9950000000000001E-2</c:v>
                      </c:pt>
                      <c:pt idx="33">
                        <c:v>0</c:v>
                      </c:pt>
                      <c:pt idx="34">
                        <c:v>-4.9950000000000001E-2</c:v>
                      </c:pt>
                      <c:pt idx="35">
                        <c:v>-9.9900000000000003E-2</c:v>
                      </c:pt>
                      <c:pt idx="36">
                        <c:v>-0.14984999600000001</c:v>
                      </c:pt>
                      <c:pt idx="37">
                        <c:v>-0.19980000000000001</c:v>
                      </c:pt>
                      <c:pt idx="38">
                        <c:v>-0.24976000200000001</c:v>
                      </c:pt>
                      <c:pt idx="39">
                        <c:v>-0.29971000599999997</c:v>
                      </c:pt>
                      <c:pt idx="40">
                        <c:v>-0.34966000899999999</c:v>
                      </c:pt>
                      <c:pt idx="41">
                        <c:v>-0.39961001299999999</c:v>
                      </c:pt>
                      <c:pt idx="42">
                        <c:v>-0.44955998699999999</c:v>
                      </c:pt>
                      <c:pt idx="43">
                        <c:v>-0.49950999000000001</c:v>
                      </c:pt>
                      <c:pt idx="44">
                        <c:v>-0.54945999400000001</c:v>
                      </c:pt>
                      <c:pt idx="45">
                        <c:v>-0.59940999699999997</c:v>
                      </c:pt>
                      <c:pt idx="46">
                        <c:v>-0.64937001500000002</c:v>
                      </c:pt>
                      <c:pt idx="47">
                        <c:v>-0.69932001799999999</c:v>
                      </c:pt>
                      <c:pt idx="48">
                        <c:v>-0.74927002200000004</c:v>
                      </c:pt>
                      <c:pt idx="49">
                        <c:v>-0.79922002599999997</c:v>
                      </c:pt>
                      <c:pt idx="50">
                        <c:v>-0.84917002900000005</c:v>
                      </c:pt>
                      <c:pt idx="51">
                        <c:v>-0.89911997300000002</c:v>
                      </c:pt>
                      <c:pt idx="52">
                        <c:v>-0.90153998099999999</c:v>
                      </c:pt>
                      <c:pt idx="53">
                        <c:v>-0.85158997800000003</c:v>
                      </c:pt>
                      <c:pt idx="54">
                        <c:v>-0.80163997399999998</c:v>
                      </c:pt>
                      <c:pt idx="55">
                        <c:v>-0.75168001699999998</c:v>
                      </c:pt>
                      <c:pt idx="56">
                        <c:v>-0.70173001300000004</c:v>
                      </c:pt>
                      <c:pt idx="57">
                        <c:v>-0.65178000899999999</c:v>
                      </c:pt>
                      <c:pt idx="58">
                        <c:v>-0.60183000600000003</c:v>
                      </c:pt>
                      <c:pt idx="59">
                        <c:v>-0.55188000199999998</c:v>
                      </c:pt>
                      <c:pt idx="60">
                        <c:v>-0.50192999800000004</c:v>
                      </c:pt>
                      <c:pt idx="61">
                        <c:v>-0.45197999500000002</c:v>
                      </c:pt>
                      <c:pt idx="62">
                        <c:v>-0.40202999099999998</c:v>
                      </c:pt>
                      <c:pt idx="63">
                        <c:v>-0.35207998800000001</c:v>
                      </c:pt>
                      <c:pt idx="64">
                        <c:v>-0.30212</c:v>
                      </c:pt>
                      <c:pt idx="65">
                        <c:v>-0.25216999699999998</c:v>
                      </c:pt>
                      <c:pt idx="66">
                        <c:v>-0.20221999299999999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'IoT Biosensor'!$W$28:$W$94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-8.5254446333333331E-2</c:v>
                      </c:pt>
                      <c:pt idx="1">
                        <c:v>-8.516889133333333E-2</c:v>
                      </c:pt>
                      <c:pt idx="2">
                        <c:v>-8.5125557111111125E-2</c:v>
                      </c:pt>
                      <c:pt idx="3">
                        <c:v>-8.5148889888888898E-2</c:v>
                      </c:pt>
                      <c:pt idx="4">
                        <c:v>-8.5205555666666655E-2</c:v>
                      </c:pt>
                      <c:pt idx="5">
                        <c:v>-8.5278889222222223E-2</c:v>
                      </c:pt>
                      <c:pt idx="6">
                        <c:v>-8.5315555222222228E-2</c:v>
                      </c:pt>
                      <c:pt idx="7">
                        <c:v>-8.5377776777777789E-2</c:v>
                      </c:pt>
                      <c:pt idx="8">
                        <c:v>-8.549888700000001E-2</c:v>
                      </c:pt>
                      <c:pt idx="9">
                        <c:v>-8.5647776222222236E-2</c:v>
                      </c:pt>
                      <c:pt idx="10">
                        <c:v>-8.5767777000000003E-2</c:v>
                      </c:pt>
                      <c:pt idx="11">
                        <c:v>-8.5827777222222235E-2</c:v>
                      </c:pt>
                      <c:pt idx="12">
                        <c:v>-8.5814443000000004E-2</c:v>
                      </c:pt>
                      <c:pt idx="13">
                        <c:v>-8.5717775666666662E-2</c:v>
                      </c:pt>
                      <c:pt idx="14">
                        <c:v>-8.5579997777777764E-2</c:v>
                      </c:pt>
                      <c:pt idx="15">
                        <c:v>-8.5511109666666654E-2</c:v>
                      </c:pt>
                      <c:pt idx="16">
                        <c:v>-8.5566665333333333E-2</c:v>
                      </c:pt>
                      <c:pt idx="17">
                        <c:v>-8.568333233333332E-2</c:v>
                      </c:pt>
                      <c:pt idx="18">
                        <c:v>-8.5741109888888889E-2</c:v>
                      </c:pt>
                      <c:pt idx="19">
                        <c:v>-8.5725554666666662E-2</c:v>
                      </c:pt>
                      <c:pt idx="20">
                        <c:v>-8.5673332666666671E-2</c:v>
                      </c:pt>
                      <c:pt idx="21">
                        <c:v>-8.5692222444444452E-2</c:v>
                      </c:pt>
                      <c:pt idx="22">
                        <c:v>-8.5745556333333348E-2</c:v>
                      </c:pt>
                      <c:pt idx="23">
                        <c:v>-8.5772222888888902E-2</c:v>
                      </c:pt>
                      <c:pt idx="24">
                        <c:v>-8.5739999888888904E-2</c:v>
                      </c:pt>
                      <c:pt idx="25">
                        <c:v>-8.5678888444444448E-2</c:v>
                      </c:pt>
                      <c:pt idx="26">
                        <c:v>-8.569333344444445E-2</c:v>
                      </c:pt>
                      <c:pt idx="27">
                        <c:v>-8.5745556333333348E-2</c:v>
                      </c:pt>
                      <c:pt idx="28">
                        <c:v>-8.5817778222222238E-2</c:v>
                      </c:pt>
                      <c:pt idx="29">
                        <c:v>-8.5853332333333324E-2</c:v>
                      </c:pt>
                      <c:pt idx="30">
                        <c:v>-8.5872220333333346E-2</c:v>
                      </c:pt>
                      <c:pt idx="31">
                        <c:v>-8.5881109777777784E-2</c:v>
                      </c:pt>
                      <c:pt idx="32">
                        <c:v>-8.5886667333333333E-2</c:v>
                      </c:pt>
                      <c:pt idx="33">
                        <c:v>-8.5888891111111101E-2</c:v>
                      </c:pt>
                      <c:pt idx="34">
                        <c:v>-8.5890003000000006E-2</c:v>
                      </c:pt>
                      <c:pt idx="35">
                        <c:v>-8.6024447000000004E-2</c:v>
                      </c:pt>
                      <c:pt idx="36">
                        <c:v>-8.6450001666666679E-2</c:v>
                      </c:pt>
                      <c:pt idx="37">
                        <c:v>-8.7288889666666661E-2</c:v>
                      </c:pt>
                      <c:pt idx="38">
                        <c:v>-8.8334445222222224E-2</c:v>
                      </c:pt>
                      <c:pt idx="39">
                        <c:v>-8.9348890555555546E-2</c:v>
                      </c:pt>
                      <c:pt idx="40">
                        <c:v>-9.0081113777777777E-2</c:v>
                      </c:pt>
                      <c:pt idx="41">
                        <c:v>-9.0536669666666666E-2</c:v>
                      </c:pt>
                      <c:pt idx="42">
                        <c:v>-9.0720002888888887E-2</c:v>
                      </c:pt>
                      <c:pt idx="43">
                        <c:v>-9.0765557444444464E-2</c:v>
                      </c:pt>
                      <c:pt idx="44">
                        <c:v>-9.0744445111111127E-2</c:v>
                      </c:pt>
                      <c:pt idx="45">
                        <c:v>-9.0688887888888889E-2</c:v>
                      </c:pt>
                      <c:pt idx="46">
                        <c:v>-9.0572221000000008E-2</c:v>
                      </c:pt>
                      <c:pt idx="47">
                        <c:v>-9.0378888333333338E-2</c:v>
                      </c:pt>
                      <c:pt idx="48">
                        <c:v>-9.0193334E-2</c:v>
                      </c:pt>
                      <c:pt idx="49">
                        <c:v>-9.0055556111111101E-2</c:v>
                      </c:pt>
                      <c:pt idx="50">
                        <c:v>-8.998666633333334E-2</c:v>
                      </c:pt>
                      <c:pt idx="51">
                        <c:v>-8.9951109666666682E-2</c:v>
                      </c:pt>
                      <c:pt idx="52">
                        <c:v>-8.9933331666666658E-2</c:v>
                      </c:pt>
                      <c:pt idx="53">
                        <c:v>-8.9924442999999979E-2</c:v>
                      </c:pt>
                      <c:pt idx="54">
                        <c:v>-8.9921109999999985E-2</c:v>
                      </c:pt>
                      <c:pt idx="55">
                        <c:v>-8.9919998999999987E-2</c:v>
                      </c:pt>
                      <c:pt idx="56">
                        <c:v>-8.9919998999999987E-2</c:v>
                      </c:pt>
                      <c:pt idx="57">
                        <c:v>-8.9919998999999987E-2</c:v>
                      </c:pt>
                      <c:pt idx="58">
                        <c:v>-8.9919998999999987E-2</c:v>
                      </c:pt>
                      <c:pt idx="59">
                        <c:v>-8.9919998999999987E-2</c:v>
                      </c:pt>
                      <c:pt idx="60">
                        <c:v>-8.9874443666666651E-2</c:v>
                      </c:pt>
                      <c:pt idx="61">
                        <c:v>-8.9806666555555567E-2</c:v>
                      </c:pt>
                      <c:pt idx="62">
                        <c:v>-8.9682222888888899E-2</c:v>
                      </c:pt>
                      <c:pt idx="63">
                        <c:v>-8.9621112444444442E-2</c:v>
                      </c:pt>
                      <c:pt idx="64">
                        <c:v>-8.9590001444444442E-2</c:v>
                      </c:pt>
                      <c:pt idx="65">
                        <c:v>-8.9664445999999995E-2</c:v>
                      </c:pt>
                      <c:pt idx="66">
                        <c:v>-8.9745557222222216E-2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6A5-4716-9F37-413F5103CCE2}"/>
                  </c:ext>
                </c:extLst>
              </c15:ser>
            </c15:filteredScatterSeries>
          </c:ext>
        </c:extLst>
      </c:scatterChart>
      <c:valAx>
        <c:axId val="192867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Potential (V)</a:t>
                </a:r>
              </a:p>
            </c:rich>
          </c:tx>
          <c:layout>
            <c:manualLayout>
              <c:xMode val="edge"/>
              <c:yMode val="edge"/>
              <c:x val="0.49633368773064157"/>
              <c:y val="2.4617944241384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bg1">
                <a:lumMod val="75000"/>
                <a:alpha val="9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8677568"/>
        <c:crosses val="autoZero"/>
        <c:crossBetween val="midCat"/>
        <c:majorUnit val="0.5"/>
      </c:valAx>
      <c:valAx>
        <c:axId val="1928677568"/>
        <c:scaling>
          <c:orientation val="minMax"/>
          <c:max val="-8.0000000000000016E-2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Current (µA)</a:t>
                </a:r>
              </a:p>
            </c:rich>
          </c:tx>
          <c:layout>
            <c:manualLayout>
              <c:xMode val="edge"/>
              <c:yMode val="edge"/>
              <c:x val="2.2202321714458791E-2"/>
              <c:y val="0.37978728925462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8676736"/>
        <c:crossesAt val="-1"/>
        <c:crossBetween val="midCat"/>
        <c:majorUnit val="5.000000000000001E-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0586486336129"/>
          <c:y val="0.55372752162756345"/>
          <c:w val="0.25411507816315049"/>
          <c:h val="0.37820669892934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0</xdr:rowOff>
    </xdr:from>
    <xdr:to>
      <xdr:col>2</xdr:col>
      <xdr:colOff>529590</xdr:colOff>
      <xdr:row>4</xdr:row>
      <xdr:rowOff>24765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28B827F9-9D1A-4611-A034-5A47E5E0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8325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76201</xdr:rowOff>
    </xdr:from>
    <xdr:to>
      <xdr:col>9</xdr:col>
      <xdr:colOff>720090</xdr:colOff>
      <xdr:row>4</xdr:row>
      <xdr:rowOff>74241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182AD18-F750-4D24-BC22-D130BB36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0" y="76201"/>
          <a:ext cx="3227070" cy="72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D40EE292-1880-4643-9C2E-0E7B0F66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196" y="176893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A1E7C8C3-9A00-45FA-87C9-5AD6A4D4A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26</xdr:col>
      <xdr:colOff>74706</xdr:colOff>
      <xdr:row>59</xdr:row>
      <xdr:rowOff>10731</xdr:rowOff>
    </xdr:from>
    <xdr:to>
      <xdr:col>39</xdr:col>
      <xdr:colOff>201367</xdr:colOff>
      <xdr:row>83</xdr:row>
      <xdr:rowOff>50492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944D9362-3C4D-09CD-9482-4FEABE6CBA20}"/>
            </a:ext>
          </a:extLst>
        </xdr:cNvPr>
        <xdr:cNvGrpSpPr/>
      </xdr:nvGrpSpPr>
      <xdr:grpSpPr>
        <a:xfrm>
          <a:off x="24001506" y="10793031"/>
          <a:ext cx="12864761" cy="4611761"/>
          <a:chOff x="24016254" y="11145763"/>
          <a:chExt cx="12859436" cy="475924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65EF9E29-62B6-4B53-907F-0816AD8D63B2}"/>
              </a:ext>
            </a:extLst>
          </xdr:cNvPr>
          <xdr:cNvGraphicFramePr>
            <a:graphicFrameLocks/>
          </xdr:cNvGraphicFramePr>
        </xdr:nvGraphicFramePr>
        <xdr:xfrm>
          <a:off x="30387463" y="11145763"/>
          <a:ext cx="6488227" cy="47592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8423AF-1315-4485-936B-5F64B1F1CA19}"/>
              </a:ext>
            </a:extLst>
          </xdr:cNvPr>
          <xdr:cNvGraphicFramePr>
            <a:graphicFrameLocks/>
          </xdr:cNvGraphicFramePr>
        </xdr:nvGraphicFramePr>
        <xdr:xfrm>
          <a:off x="24016254" y="11145763"/>
          <a:ext cx="6468318" cy="47592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BM_Biosensors_Assembling_CV_Palmsen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tion"/>
      <sheetName val="Biosensor1_Aptes"/>
      <sheetName val="Biosensor1_Glut"/>
      <sheetName val="Biosensor1_Lacasa"/>
      <sheetName val="Biosensor2_Aptes"/>
      <sheetName val="Biosensor2_Glut"/>
      <sheetName val="Biosensor2_Lacasa"/>
      <sheetName val="Biosensor3_Aptes"/>
      <sheetName val="Biosensor3_Glut"/>
      <sheetName val="Biosensor3_Lacasa"/>
      <sheetName val="Biosensor4_Aptes"/>
      <sheetName val="Biosensor4_Glut"/>
      <sheetName val=" Biosensor4_Lacasa"/>
      <sheetName val="Sensor_average"/>
    </sheetNames>
    <sheetDataSet>
      <sheetData sheetId="0">
        <row r="8">
          <cell r="I8" t="str">
            <v>Ailin Prado Falla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73CF-924F-475A-8BEF-BAAC4EE4DF30}">
  <dimension ref="B1:K48"/>
  <sheetViews>
    <sheetView workbookViewId="0">
      <selection activeCell="B41" sqref="B41"/>
    </sheetView>
  </sheetViews>
  <sheetFormatPr baseColWidth="10" defaultColWidth="8.88671875" defaultRowHeight="14.4" x14ac:dyDescent="0.3"/>
  <cols>
    <col min="1" max="1" width="1" customWidth="1"/>
    <col min="2" max="8" width="14.44140625" customWidth="1"/>
    <col min="9" max="256" width="11.44140625" customWidth="1"/>
  </cols>
  <sheetData>
    <row r="1" spans="2:1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5.75" customHeight="1" x14ac:dyDescent="0.3">
      <c r="B3" s="1"/>
      <c r="C3" s="1"/>
      <c r="D3" s="60" t="s">
        <v>8</v>
      </c>
      <c r="E3" s="60"/>
      <c r="F3" s="60"/>
      <c r="G3" s="60"/>
      <c r="H3" s="1"/>
      <c r="I3" s="1"/>
      <c r="J3" s="1"/>
      <c r="K3" s="1"/>
    </row>
    <row r="4" spans="2:11" x14ac:dyDescent="0.3">
      <c r="B4" s="1"/>
      <c r="C4" s="1"/>
      <c r="D4" s="60"/>
      <c r="E4" s="60"/>
      <c r="F4" s="60"/>
      <c r="G4" s="60"/>
      <c r="H4" s="1"/>
      <c r="I4" s="1"/>
      <c r="J4" s="1"/>
      <c r="K4" s="1"/>
    </row>
    <row r="5" spans="2:11" x14ac:dyDescent="0.3">
      <c r="B5" s="1"/>
      <c r="C5" s="1"/>
      <c r="D5" s="1"/>
      <c r="E5" s="1"/>
      <c r="F5" s="1"/>
      <c r="G5" s="1"/>
      <c r="H5" s="2" t="s">
        <v>9</v>
      </c>
      <c r="I5" s="3" t="s">
        <v>10</v>
      </c>
      <c r="J5" s="1"/>
      <c r="K5" s="1"/>
    </row>
    <row r="6" spans="2:11" ht="5.25" customHeight="1" x14ac:dyDescent="0.3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5.2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5" thickBot="1" x14ac:dyDescent="0.35">
      <c r="B8" s="5" t="s">
        <v>11</v>
      </c>
      <c r="C8">
        <v>1</v>
      </c>
      <c r="H8" s="5" t="s">
        <v>12</v>
      </c>
      <c r="I8" t="s">
        <v>41</v>
      </c>
    </row>
    <row r="9" spans="2:11" x14ac:dyDescent="0.3">
      <c r="B9" s="5" t="s">
        <v>13</v>
      </c>
      <c r="C9" t="s">
        <v>67</v>
      </c>
      <c r="H9" s="5" t="s">
        <v>14</v>
      </c>
      <c r="I9" s="42">
        <v>45632</v>
      </c>
    </row>
    <row r="10" spans="2:11" ht="15" thickBot="1" x14ac:dyDescent="0.35"/>
    <row r="11" spans="2:11" ht="15" thickBot="1" x14ac:dyDescent="0.35">
      <c r="B11" s="34" t="s">
        <v>42</v>
      </c>
      <c r="C11" s="8"/>
      <c r="D11" s="8"/>
      <c r="E11" s="8"/>
      <c r="F11" s="8"/>
      <c r="G11" s="8"/>
      <c r="H11" s="8"/>
      <c r="I11" s="8"/>
      <c r="J11" s="8"/>
      <c r="K11" s="9"/>
    </row>
    <row r="12" spans="2:11" x14ac:dyDescent="0.3">
      <c r="B12" s="61" t="s">
        <v>75</v>
      </c>
      <c r="C12" s="62"/>
      <c r="D12" s="62"/>
      <c r="E12" s="62"/>
      <c r="F12" s="62"/>
      <c r="G12" s="62"/>
      <c r="H12" s="62"/>
      <c r="I12" s="62"/>
      <c r="J12" s="62"/>
      <c r="K12" s="63"/>
    </row>
    <row r="13" spans="2:11" x14ac:dyDescent="0.3">
      <c r="B13" s="61"/>
      <c r="C13" s="62"/>
      <c r="D13" s="62"/>
      <c r="E13" s="62"/>
      <c r="F13" s="62"/>
      <c r="G13" s="62"/>
      <c r="H13" s="62"/>
      <c r="I13" s="62"/>
      <c r="J13" s="62"/>
      <c r="K13" s="63"/>
    </row>
    <row r="14" spans="2:11" x14ac:dyDescent="0.3">
      <c r="B14" s="61"/>
      <c r="C14" s="62"/>
      <c r="D14" s="62"/>
      <c r="E14" s="62"/>
      <c r="F14" s="62"/>
      <c r="G14" s="62"/>
      <c r="H14" s="62"/>
      <c r="I14" s="62"/>
      <c r="J14" s="62"/>
      <c r="K14" s="63"/>
    </row>
    <row r="15" spans="2:11" x14ac:dyDescent="0.3">
      <c r="B15" s="61"/>
      <c r="C15" s="62"/>
      <c r="D15" s="62"/>
      <c r="E15" s="62"/>
      <c r="F15" s="62"/>
      <c r="G15" s="62"/>
      <c r="H15" s="62"/>
      <c r="I15" s="62"/>
      <c r="J15" s="62"/>
      <c r="K15" s="63"/>
    </row>
    <row r="16" spans="2:11" x14ac:dyDescent="0.3">
      <c r="B16" s="61"/>
      <c r="C16" s="62"/>
      <c r="D16" s="62"/>
      <c r="E16" s="62"/>
      <c r="F16" s="62"/>
      <c r="G16" s="62"/>
      <c r="H16" s="62"/>
      <c r="I16" s="62"/>
      <c r="J16" s="62"/>
      <c r="K16" s="63"/>
    </row>
    <row r="17" spans="2:11" x14ac:dyDescent="0.3">
      <c r="B17" s="61"/>
      <c r="C17" s="62"/>
      <c r="D17" s="62"/>
      <c r="E17" s="62"/>
      <c r="F17" s="62"/>
      <c r="G17" s="62"/>
      <c r="H17" s="62"/>
      <c r="I17" s="62"/>
      <c r="J17" s="62"/>
      <c r="K17" s="63"/>
    </row>
    <row r="18" spans="2:11" ht="15" thickBot="1" x14ac:dyDescent="0.35">
      <c r="B18" s="64"/>
      <c r="C18" s="65"/>
      <c r="D18" s="65"/>
      <c r="E18" s="65"/>
      <c r="F18" s="65"/>
      <c r="G18" s="65"/>
      <c r="H18" s="65"/>
      <c r="I18" s="65"/>
      <c r="J18" s="65"/>
      <c r="K18" s="66"/>
    </row>
    <row r="20" spans="2:11" ht="15" thickBot="1" x14ac:dyDescent="0.35">
      <c r="B20" s="5" t="s">
        <v>43</v>
      </c>
    </row>
    <row r="21" spans="2:11" x14ac:dyDescent="0.3">
      <c r="B21" s="67" t="s">
        <v>17</v>
      </c>
      <c r="C21" s="69" t="s">
        <v>44</v>
      </c>
      <c r="D21" s="70"/>
      <c r="E21" s="70"/>
      <c r="F21" s="71"/>
      <c r="G21" s="69" t="s">
        <v>45</v>
      </c>
      <c r="H21" s="71"/>
      <c r="I21" s="69" t="s">
        <v>46</v>
      </c>
      <c r="J21" s="70"/>
      <c r="K21" s="71"/>
    </row>
    <row r="22" spans="2:11" ht="15" thickBot="1" x14ac:dyDescent="0.35">
      <c r="B22" s="68"/>
      <c r="C22" s="36"/>
      <c r="D22" s="37"/>
      <c r="E22" s="37"/>
      <c r="F22" s="38"/>
      <c r="G22" s="39"/>
      <c r="H22" s="40"/>
      <c r="I22" s="39"/>
      <c r="J22" s="41"/>
      <c r="K22" s="40"/>
    </row>
    <row r="23" spans="2:11" ht="15" thickBot="1" x14ac:dyDescent="0.35">
      <c r="B23" s="42">
        <v>45632</v>
      </c>
      <c r="C23" s="72" t="s">
        <v>61</v>
      </c>
      <c r="D23" s="73"/>
      <c r="E23" s="73"/>
      <c r="F23" s="74"/>
      <c r="G23" s="72"/>
      <c r="H23" s="74"/>
      <c r="I23" s="72"/>
      <c r="J23" s="73"/>
      <c r="K23" s="74"/>
    </row>
    <row r="24" spans="2:11" ht="15" thickBot="1" x14ac:dyDescent="0.35">
      <c r="B24" s="42">
        <v>45632</v>
      </c>
      <c r="C24" s="72" t="s">
        <v>62</v>
      </c>
      <c r="D24" s="73"/>
      <c r="E24" s="73"/>
      <c r="F24" s="74"/>
      <c r="G24" s="72"/>
      <c r="H24" s="74"/>
      <c r="I24" s="72"/>
      <c r="J24" s="73"/>
      <c r="K24" s="74"/>
    </row>
    <row r="25" spans="2:11" ht="15" thickBot="1" x14ac:dyDescent="0.35">
      <c r="B25" s="42">
        <v>45632</v>
      </c>
      <c r="C25" s="72" t="s">
        <v>63</v>
      </c>
      <c r="D25" s="73"/>
      <c r="E25" s="73"/>
      <c r="F25" s="74"/>
      <c r="G25" s="72"/>
      <c r="H25" s="74"/>
      <c r="I25" s="72"/>
      <c r="J25" s="73"/>
      <c r="K25" s="74"/>
    </row>
    <row r="26" spans="2:11" ht="15" thickBot="1" x14ac:dyDescent="0.35">
      <c r="B26" s="42">
        <v>45632</v>
      </c>
      <c r="C26" s="72" t="s">
        <v>64</v>
      </c>
      <c r="D26" s="73"/>
      <c r="E26" s="73"/>
      <c r="F26" s="74"/>
      <c r="G26" s="72"/>
      <c r="H26" s="74"/>
      <c r="I26" s="72"/>
      <c r="J26" s="73"/>
      <c r="K26" s="74"/>
    </row>
    <row r="27" spans="2:11" ht="15" thickBot="1" x14ac:dyDescent="0.35">
      <c r="B27" s="42">
        <v>45632</v>
      </c>
      <c r="C27" s="72" t="s">
        <v>65</v>
      </c>
      <c r="D27" s="73"/>
      <c r="E27" s="73"/>
      <c r="F27" s="74"/>
      <c r="G27" s="72"/>
      <c r="H27" s="74"/>
      <c r="I27" s="72"/>
      <c r="J27" s="73"/>
      <c r="K27" s="74"/>
    </row>
    <row r="28" spans="2:11" ht="15" thickBot="1" x14ac:dyDescent="0.35">
      <c r="B28" s="42">
        <v>45632</v>
      </c>
      <c r="C28" s="72" t="s">
        <v>66</v>
      </c>
      <c r="D28" s="73"/>
      <c r="E28" s="73"/>
      <c r="F28" s="74"/>
      <c r="G28" s="72"/>
      <c r="H28" s="74"/>
      <c r="I28" s="72"/>
      <c r="J28" s="73"/>
      <c r="K28" s="74"/>
    </row>
    <row r="29" spans="2:11" x14ac:dyDescent="0.3">
      <c r="B29" s="5"/>
    </row>
    <row r="30" spans="2:11" ht="15" thickBot="1" x14ac:dyDescent="0.35"/>
    <row r="31" spans="2:11" ht="15" thickBot="1" x14ac:dyDescent="0.35">
      <c r="B31" s="6" t="s">
        <v>47</v>
      </c>
      <c r="C31" s="7"/>
    </row>
    <row r="34" spans="2:11" ht="15" thickBot="1" x14ac:dyDescent="0.35">
      <c r="B34" s="5" t="s">
        <v>48</v>
      </c>
    </row>
    <row r="35" spans="2:11" x14ac:dyDescent="0.3">
      <c r="B35" s="69" t="s">
        <v>49</v>
      </c>
      <c r="C35" s="70"/>
      <c r="D35" s="71"/>
      <c r="E35" s="69" t="s">
        <v>50</v>
      </c>
      <c r="F35" s="71"/>
      <c r="G35" s="69" t="s">
        <v>51</v>
      </c>
      <c r="H35" s="71"/>
      <c r="I35" s="69" t="s">
        <v>52</v>
      </c>
      <c r="J35" s="71"/>
      <c r="K35" s="35" t="s">
        <v>17</v>
      </c>
    </row>
    <row r="36" spans="2:11" ht="15" thickBot="1" x14ac:dyDescent="0.35">
      <c r="B36" s="43"/>
      <c r="C36" s="44"/>
      <c r="D36" s="45"/>
      <c r="E36" s="43"/>
      <c r="F36" s="45"/>
      <c r="G36" s="43"/>
      <c r="H36" s="45"/>
      <c r="I36" s="43"/>
      <c r="J36" s="45"/>
      <c r="K36" s="45"/>
    </row>
    <row r="37" spans="2:11" ht="15" thickBot="1" x14ac:dyDescent="0.35">
      <c r="B37" s="46" t="s">
        <v>53</v>
      </c>
      <c r="C37" s="8"/>
      <c r="D37" s="9"/>
      <c r="E37" s="46" t="s">
        <v>54</v>
      </c>
      <c r="F37" s="9"/>
      <c r="G37" s="46"/>
      <c r="H37" s="9"/>
      <c r="I37" s="46">
        <v>1</v>
      </c>
      <c r="J37" s="9"/>
      <c r="K37" s="47"/>
    </row>
    <row r="38" spans="2:11" x14ac:dyDescent="0.3">
      <c r="B38" s="10" t="s">
        <v>76</v>
      </c>
      <c r="D38" s="11"/>
      <c r="E38" s="10" t="s">
        <v>54</v>
      </c>
      <c r="F38" s="11"/>
      <c r="G38" s="10"/>
      <c r="H38" s="11"/>
      <c r="I38" s="10">
        <v>1</v>
      </c>
      <c r="J38" s="11"/>
      <c r="K38" s="47"/>
    </row>
    <row r="39" spans="2:11" x14ac:dyDescent="0.3">
      <c r="B39" s="10" t="s">
        <v>68</v>
      </c>
      <c r="D39" s="11"/>
      <c r="E39" s="10" t="s">
        <v>54</v>
      </c>
      <c r="F39" s="11"/>
      <c r="G39" s="10"/>
      <c r="H39" s="11"/>
      <c r="I39" s="10" t="s">
        <v>55</v>
      </c>
      <c r="J39" s="11"/>
      <c r="K39" s="48"/>
    </row>
    <row r="40" spans="2:11" x14ac:dyDescent="0.3">
      <c r="B40" s="10" t="s">
        <v>56</v>
      </c>
      <c r="D40" s="11"/>
      <c r="E40" s="10" t="s">
        <v>54</v>
      </c>
      <c r="F40" s="11"/>
      <c r="G40" s="10"/>
      <c r="H40" s="11"/>
      <c r="I40" s="10" t="s">
        <v>55</v>
      </c>
      <c r="J40" s="11"/>
      <c r="K40" s="48"/>
    </row>
    <row r="41" spans="2:11" x14ac:dyDescent="0.3">
      <c r="B41" s="10" t="s">
        <v>57</v>
      </c>
      <c r="D41" s="11"/>
      <c r="E41" s="10" t="s">
        <v>54</v>
      </c>
      <c r="F41" s="11"/>
      <c r="G41" s="10"/>
      <c r="H41" s="11"/>
      <c r="I41" s="10" t="s">
        <v>55</v>
      </c>
      <c r="J41" s="11"/>
      <c r="K41" s="48"/>
    </row>
    <row r="42" spans="2:11" x14ac:dyDescent="0.3">
      <c r="B42" s="10" t="s">
        <v>58</v>
      </c>
      <c r="D42" s="11"/>
      <c r="E42" s="10" t="s">
        <v>54</v>
      </c>
      <c r="F42" s="11"/>
      <c r="G42" s="10"/>
      <c r="H42" s="11"/>
      <c r="I42" s="10" t="s">
        <v>55</v>
      </c>
      <c r="J42" s="11"/>
      <c r="K42" s="48"/>
    </row>
    <row r="43" spans="2:11" x14ac:dyDescent="0.3">
      <c r="B43" s="10" t="s">
        <v>59</v>
      </c>
      <c r="D43" s="11"/>
      <c r="E43" s="10" t="s">
        <v>54</v>
      </c>
      <c r="F43" s="11"/>
      <c r="G43" s="10"/>
      <c r="H43" s="11"/>
      <c r="I43" s="10" t="s">
        <v>55</v>
      </c>
      <c r="J43" s="11"/>
      <c r="K43" s="48"/>
    </row>
    <row r="44" spans="2:11" x14ac:dyDescent="0.3">
      <c r="B44" s="10"/>
      <c r="D44" s="11"/>
      <c r="E44" s="10"/>
      <c r="F44" s="11"/>
      <c r="G44" s="10"/>
      <c r="H44" s="11"/>
      <c r="I44" s="10"/>
      <c r="J44" s="11"/>
      <c r="K44" s="11"/>
    </row>
    <row r="45" spans="2:11" x14ac:dyDescent="0.3">
      <c r="B45" s="10"/>
      <c r="D45" s="11"/>
      <c r="E45" s="10"/>
      <c r="F45" s="11"/>
      <c r="G45" s="10"/>
      <c r="H45" s="11"/>
      <c r="I45" s="10"/>
      <c r="J45" s="11"/>
      <c r="K45" s="11"/>
    </row>
    <row r="46" spans="2:11" x14ac:dyDescent="0.3">
      <c r="B46" s="10"/>
      <c r="D46" s="11"/>
      <c r="E46" s="10"/>
      <c r="F46" s="11"/>
      <c r="G46" s="10"/>
      <c r="H46" s="11"/>
      <c r="I46" s="10"/>
      <c r="J46" s="11"/>
      <c r="K46" s="11"/>
    </row>
    <row r="47" spans="2:11" x14ac:dyDescent="0.3">
      <c r="B47" s="10"/>
      <c r="D47" s="11"/>
      <c r="E47" s="10"/>
      <c r="F47" s="11"/>
      <c r="G47" s="10"/>
      <c r="H47" s="11"/>
      <c r="I47" s="10"/>
      <c r="J47" s="11"/>
      <c r="K47" s="11"/>
    </row>
    <row r="48" spans="2:11" ht="15" thickBot="1" x14ac:dyDescent="0.35">
      <c r="B48" s="12"/>
      <c r="C48" s="13"/>
      <c r="D48" s="14"/>
      <c r="E48" s="12"/>
      <c r="F48" s="14"/>
      <c r="G48" s="12"/>
      <c r="H48" s="14"/>
      <c r="I48" s="12"/>
      <c r="J48" s="14"/>
      <c r="K48" s="14"/>
    </row>
  </sheetData>
  <mergeCells count="28">
    <mergeCell ref="B35:D35"/>
    <mergeCell ref="E35:F35"/>
    <mergeCell ref="G35:H35"/>
    <mergeCell ref="I35:J35"/>
    <mergeCell ref="C24:F24"/>
    <mergeCell ref="G24:H24"/>
    <mergeCell ref="I24:K24"/>
    <mergeCell ref="C28:F28"/>
    <mergeCell ref="G28:H28"/>
    <mergeCell ref="I28:K28"/>
    <mergeCell ref="C26:F26"/>
    <mergeCell ref="G26:H26"/>
    <mergeCell ref="I26:K26"/>
    <mergeCell ref="C27:F27"/>
    <mergeCell ref="G27:H27"/>
    <mergeCell ref="I27:K27"/>
    <mergeCell ref="C23:F23"/>
    <mergeCell ref="G23:H23"/>
    <mergeCell ref="I23:K23"/>
    <mergeCell ref="C25:F25"/>
    <mergeCell ref="G25:H25"/>
    <mergeCell ref="I25:K25"/>
    <mergeCell ref="D3:G4"/>
    <mergeCell ref="B12:K18"/>
    <mergeCell ref="B21:B22"/>
    <mergeCell ref="C21:F21"/>
    <mergeCell ref="G21:H21"/>
    <mergeCell ref="I21:K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511"/>
  <sheetViews>
    <sheetView tabSelected="1" topLeftCell="B4" zoomScale="60" zoomScaleNormal="25" workbookViewId="0">
      <selection activeCell="AF54" sqref="AF54"/>
    </sheetView>
  </sheetViews>
  <sheetFormatPr baseColWidth="10" defaultColWidth="8.88671875" defaultRowHeight="14.4" x14ac:dyDescent="0.3"/>
  <cols>
    <col min="1" max="1" width="10.33203125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15" width="11.44140625" customWidth="1"/>
    <col min="16" max="16" width="12.109375" bestFit="1" customWidth="1"/>
    <col min="17" max="17" width="13" bestFit="1" customWidth="1"/>
    <col min="18" max="20" width="13.44140625" bestFit="1" customWidth="1"/>
    <col min="21" max="21" width="12.109375" bestFit="1" customWidth="1"/>
    <col min="22" max="22" width="13" bestFit="1" customWidth="1"/>
    <col min="23" max="25" width="13.44140625" bestFit="1" customWidth="1"/>
    <col min="26" max="26" width="11.44140625" customWidth="1"/>
    <col min="27" max="27" width="17.33203125" customWidth="1"/>
    <col min="28" max="28" width="19" customWidth="1"/>
    <col min="29" max="29" width="17.44140625" customWidth="1"/>
    <col min="30" max="30" width="20.21875" customWidth="1"/>
    <col min="31" max="31" width="19.88671875" customWidth="1"/>
    <col min="32" max="253" width="11.441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customHeight="1" x14ac:dyDescent="0.3">
      <c r="A3" s="1"/>
      <c r="B3" s="1"/>
      <c r="C3" s="60" t="s">
        <v>8</v>
      </c>
      <c r="D3" s="60"/>
      <c r="E3" s="60"/>
      <c r="F3" s="6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customHeight="1" x14ac:dyDescent="0.3">
      <c r="A4" s="1"/>
      <c r="B4" s="1"/>
      <c r="C4" s="60"/>
      <c r="D4" s="60"/>
      <c r="E4" s="60"/>
      <c r="F4" s="6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2" t="s">
        <v>9</v>
      </c>
      <c r="H5" s="3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5" t="s">
        <v>11</v>
      </c>
      <c r="B8">
        <f>1</f>
        <v>1</v>
      </c>
      <c r="G8" s="5" t="s">
        <v>12</v>
      </c>
      <c r="H8" t="str">
        <f>[1]Description!I8</f>
        <v>Ailin Prado Falla</v>
      </c>
    </row>
    <row r="9" spans="1:26" x14ac:dyDescent="0.3">
      <c r="A9" s="5" t="s">
        <v>13</v>
      </c>
      <c r="B9" t="s">
        <v>60</v>
      </c>
      <c r="G9" s="5" t="s">
        <v>14</v>
      </c>
      <c r="H9" s="54">
        <v>45632</v>
      </c>
    </row>
    <row r="10" spans="1:26" ht="15" thickBot="1" x14ac:dyDescent="0.35"/>
    <row r="11" spans="1:26" ht="15" thickBot="1" x14ac:dyDescent="0.35">
      <c r="A11" s="6" t="s">
        <v>15</v>
      </c>
      <c r="B11" s="7"/>
      <c r="C11" s="8"/>
      <c r="D11" s="8"/>
      <c r="E11" s="8"/>
      <c r="F11" s="8"/>
      <c r="G11" s="8"/>
      <c r="H11" s="8"/>
      <c r="I11" s="8"/>
      <c r="J11" s="9"/>
    </row>
    <row r="12" spans="1:26" x14ac:dyDescent="0.3">
      <c r="A12" s="10"/>
      <c r="J12" s="11"/>
    </row>
    <row r="13" spans="1:26" x14ac:dyDescent="0.3">
      <c r="A13" s="61" t="s">
        <v>74</v>
      </c>
      <c r="B13" s="62"/>
      <c r="C13" s="62"/>
      <c r="D13" s="62"/>
      <c r="E13" s="62"/>
      <c r="F13" s="62"/>
      <c r="G13" s="62"/>
      <c r="H13" s="62"/>
      <c r="I13" s="62"/>
      <c r="J13" s="63"/>
    </row>
    <row r="14" spans="1:26" x14ac:dyDescent="0.3">
      <c r="A14" s="61"/>
      <c r="B14" s="62"/>
      <c r="C14" s="62"/>
      <c r="D14" s="62"/>
      <c r="E14" s="62"/>
      <c r="F14" s="62"/>
      <c r="G14" s="62"/>
      <c r="H14" s="62"/>
      <c r="I14" s="62"/>
      <c r="J14" s="63"/>
    </row>
    <row r="15" spans="1:26" x14ac:dyDescent="0.3">
      <c r="A15" s="61"/>
      <c r="B15" s="62"/>
      <c r="C15" s="62"/>
      <c r="D15" s="62"/>
      <c r="E15" s="62"/>
      <c r="F15" s="62"/>
      <c r="G15" s="62"/>
      <c r="H15" s="62"/>
      <c r="I15" s="62"/>
      <c r="J15" s="63"/>
    </row>
    <row r="16" spans="1:26" x14ac:dyDescent="0.3">
      <c r="A16" s="61"/>
      <c r="B16" s="62"/>
      <c r="C16" s="62"/>
      <c r="D16" s="62"/>
      <c r="E16" s="62"/>
      <c r="F16" s="62"/>
      <c r="G16" s="62"/>
      <c r="H16" s="62"/>
      <c r="I16" s="62"/>
      <c r="J16" s="63"/>
    </row>
    <row r="17" spans="1:60" x14ac:dyDescent="0.3">
      <c r="A17" s="10"/>
      <c r="J17" s="11"/>
    </row>
    <row r="18" spans="1:60" ht="15" thickBot="1" x14ac:dyDescent="0.35">
      <c r="A18" s="12"/>
      <c r="B18" s="13"/>
      <c r="C18" s="13"/>
      <c r="D18" s="13"/>
      <c r="E18" s="13"/>
      <c r="F18" s="13"/>
      <c r="G18" s="13"/>
      <c r="H18" s="13"/>
      <c r="I18" s="13"/>
      <c r="J18" s="14"/>
    </row>
    <row r="20" spans="1:60" x14ac:dyDescent="0.3">
      <c r="B20" s="5"/>
    </row>
    <row r="21" spans="1:60" ht="15" thickBot="1" x14ac:dyDescent="0.35">
      <c r="A21" s="5" t="s">
        <v>16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15"/>
      <c r="AB21" s="16"/>
      <c r="AC21" s="16"/>
    </row>
    <row r="22" spans="1:60" x14ac:dyDescent="0.3">
      <c r="A22" s="17" t="s">
        <v>17</v>
      </c>
      <c r="B22" s="83" t="s">
        <v>2</v>
      </c>
      <c r="C22" s="84"/>
      <c r="D22" s="84" t="s">
        <v>3</v>
      </c>
      <c r="E22" s="84"/>
      <c r="F22" s="80" t="s">
        <v>4</v>
      </c>
      <c r="G22" s="80"/>
      <c r="H22" s="80" t="s">
        <v>5</v>
      </c>
      <c r="I22" s="80"/>
      <c r="J22" s="80" t="s">
        <v>6</v>
      </c>
      <c r="K22" s="80"/>
      <c r="L22" s="80" t="s">
        <v>7</v>
      </c>
      <c r="M22" s="81"/>
      <c r="N22" s="55"/>
      <c r="O22" s="55"/>
      <c r="P22" s="79" t="s">
        <v>77</v>
      </c>
      <c r="Q22" s="80"/>
      <c r="R22" s="80"/>
      <c r="S22" s="80"/>
      <c r="T22" s="81"/>
      <c r="U22" s="79" t="s">
        <v>78</v>
      </c>
      <c r="V22" s="80"/>
      <c r="W22" s="80"/>
      <c r="X22" s="80"/>
      <c r="Y22" s="81"/>
      <c r="AA22" s="50" t="s">
        <v>18</v>
      </c>
      <c r="AB22" s="32">
        <v>4.9950000000000001E-2</v>
      </c>
    </row>
    <row r="23" spans="1:60" ht="15" thickBot="1" x14ac:dyDescent="0.35">
      <c r="A23" s="18"/>
      <c r="B23" s="21" t="s">
        <v>0</v>
      </c>
      <c r="C23" s="22" t="s">
        <v>1</v>
      </c>
      <c r="D23" s="22" t="s">
        <v>0</v>
      </c>
      <c r="E23" s="22" t="s">
        <v>1</v>
      </c>
      <c r="F23" s="22" t="s">
        <v>0</v>
      </c>
      <c r="G23" s="22" t="s">
        <v>1</v>
      </c>
      <c r="H23" s="22" t="s">
        <v>0</v>
      </c>
      <c r="I23" s="22" t="s">
        <v>1</v>
      </c>
      <c r="J23" s="22" t="s">
        <v>0</v>
      </c>
      <c r="K23" s="22" t="s">
        <v>1</v>
      </c>
      <c r="L23" s="22" t="s">
        <v>0</v>
      </c>
      <c r="M23" s="23" t="s">
        <v>1</v>
      </c>
      <c r="N23" s="22"/>
      <c r="O23" s="22" t="s">
        <v>79</v>
      </c>
      <c r="P23" s="21" t="s">
        <v>3</v>
      </c>
      <c r="Q23" s="22" t="s">
        <v>4</v>
      </c>
      <c r="R23" s="22" t="s">
        <v>5</v>
      </c>
      <c r="S23" s="22" t="s">
        <v>6</v>
      </c>
      <c r="T23" s="23" t="s">
        <v>7</v>
      </c>
      <c r="U23" s="21" t="s">
        <v>3</v>
      </c>
      <c r="V23" s="22" t="s">
        <v>4</v>
      </c>
      <c r="W23" s="22" t="s">
        <v>5</v>
      </c>
      <c r="X23" s="22" t="s">
        <v>6</v>
      </c>
      <c r="Y23" s="23" t="s">
        <v>7</v>
      </c>
    </row>
    <row r="24" spans="1:60" ht="15" thickBot="1" x14ac:dyDescent="0.35">
      <c r="A24" s="56">
        <v>45632</v>
      </c>
      <c r="B24">
        <v>-2.4199999999999998E-3</v>
      </c>
      <c r="C24">
        <v>-8.6190000000000003E-2</v>
      </c>
      <c r="D24">
        <v>-2.4199999999999998E-3</v>
      </c>
      <c r="E24">
        <v>-8.8019997000000003E-2</v>
      </c>
      <c r="F24">
        <v>-2.4199999999999998E-3</v>
      </c>
      <c r="G24">
        <v>-8.6390004000000006E-2</v>
      </c>
      <c r="H24">
        <v>-2.4199999999999998E-3</v>
      </c>
      <c r="I24">
        <v>-8.5589997000000001E-2</v>
      </c>
      <c r="J24">
        <v>-2.4199999999999998E-3</v>
      </c>
      <c r="K24">
        <v>-8.3820000000000006E-2</v>
      </c>
      <c r="L24">
        <v>-2.4199999999999998E-3</v>
      </c>
      <c r="M24" s="11">
        <v>-8.6070000999999993E-2</v>
      </c>
      <c r="O24">
        <f t="shared" ref="O24:O27" si="0">B24</f>
        <v>-2.4199999999999998E-3</v>
      </c>
      <c r="P24" s="10">
        <f>E24</f>
        <v>-8.8019997000000003E-2</v>
      </c>
      <c r="Q24">
        <f>G24</f>
        <v>-8.6390004000000006E-2</v>
      </c>
      <c r="R24">
        <f>I24</f>
        <v>-8.5589997000000001E-2</v>
      </c>
      <c r="S24">
        <f>K24</f>
        <v>-8.3820000000000006E-2</v>
      </c>
      <c r="T24" s="11">
        <f>M24</f>
        <v>-8.6070000999999993E-2</v>
      </c>
      <c r="U24" s="10">
        <f>P24</f>
        <v>-8.8019997000000003E-2</v>
      </c>
      <c r="V24" s="10">
        <f t="shared" ref="V24:Y24" si="1">Q24</f>
        <v>-8.6390004000000006E-2</v>
      </c>
      <c r="W24" s="10">
        <f t="shared" si="1"/>
        <v>-8.5589997000000001E-2</v>
      </c>
      <c r="X24" s="10">
        <f t="shared" si="1"/>
        <v>-8.3820000000000006E-2</v>
      </c>
      <c r="Y24" s="10">
        <f t="shared" si="1"/>
        <v>-8.6070000999999993E-2</v>
      </c>
      <c r="AA24" s="50" t="s">
        <v>69</v>
      </c>
      <c r="AB24" s="50" t="s">
        <v>19</v>
      </c>
      <c r="AC24" s="50" t="s">
        <v>80</v>
      </c>
      <c r="AD24" s="50" t="s">
        <v>81</v>
      </c>
      <c r="AH24" s="50" t="s">
        <v>29</v>
      </c>
      <c r="AI24" s="50" t="s">
        <v>30</v>
      </c>
      <c r="AJ24" s="50" t="s">
        <v>31</v>
      </c>
      <c r="AK24" s="50" t="s">
        <v>32</v>
      </c>
      <c r="AL24" s="50" t="s">
        <v>33</v>
      </c>
      <c r="AM24" s="50" t="s">
        <v>34</v>
      </c>
      <c r="AO24" s="50" t="s">
        <v>29</v>
      </c>
      <c r="AP24" s="50" t="s">
        <v>30</v>
      </c>
      <c r="AQ24" s="50" t="s">
        <v>31</v>
      </c>
      <c r="AR24" s="50" t="s">
        <v>32</v>
      </c>
      <c r="AS24" s="51" t="s">
        <v>33</v>
      </c>
      <c r="AT24" s="50" t="s">
        <v>34</v>
      </c>
      <c r="AV24" s="50" t="s">
        <v>29</v>
      </c>
      <c r="AW24" s="50" t="s">
        <v>30</v>
      </c>
      <c r="AX24" s="50" t="s">
        <v>31</v>
      </c>
      <c r="AY24" s="50" t="s">
        <v>32</v>
      </c>
      <c r="AZ24" s="51" t="s">
        <v>33</v>
      </c>
      <c r="BA24" s="50" t="s">
        <v>34</v>
      </c>
      <c r="BC24" s="50" t="s">
        <v>29</v>
      </c>
      <c r="BD24" s="50" t="s">
        <v>30</v>
      </c>
      <c r="BE24" s="50" t="s">
        <v>31</v>
      </c>
      <c r="BF24" s="50" t="s">
        <v>32</v>
      </c>
      <c r="BG24" s="51" t="s">
        <v>33</v>
      </c>
      <c r="BH24" s="50" t="s">
        <v>34</v>
      </c>
    </row>
    <row r="25" spans="1:60" ht="15" thickBot="1" x14ac:dyDescent="0.35">
      <c r="A25" s="56">
        <v>45632</v>
      </c>
      <c r="B25">
        <v>4.7529999000000003E-2</v>
      </c>
      <c r="C25">
        <v>-8.6439997000000005E-2</v>
      </c>
      <c r="D25">
        <v>4.7529999000000003E-2</v>
      </c>
      <c r="E25">
        <v>-8.7360002000000006E-2</v>
      </c>
      <c r="F25">
        <v>4.7529999000000003E-2</v>
      </c>
      <c r="G25">
        <v>-8.5330002000000002E-2</v>
      </c>
      <c r="H25">
        <v>4.7529999000000003E-2</v>
      </c>
      <c r="I25">
        <v>-8.5330002000000002E-2</v>
      </c>
      <c r="J25">
        <v>4.7529999000000003E-2</v>
      </c>
      <c r="K25">
        <v>-8.3250001000000004E-2</v>
      </c>
      <c r="L25">
        <v>4.7529999000000003E-2</v>
      </c>
      <c r="M25" s="11">
        <v>-8.3959996999999995E-2</v>
      </c>
      <c r="O25">
        <f t="shared" si="0"/>
        <v>4.7529999000000003E-2</v>
      </c>
      <c r="P25" s="10">
        <f>AVERAGE(E24:E25)</f>
        <v>-8.7689999500000004E-2</v>
      </c>
      <c r="Q25">
        <f>AVERAGE(G24:G25)</f>
        <v>-8.5860003000000004E-2</v>
      </c>
      <c r="R25">
        <f>AVERAGE(I24:I25)</f>
        <v>-8.5459999499999995E-2</v>
      </c>
      <c r="S25">
        <f>AVERAGE(K24:K25)</f>
        <v>-8.3535000500000012E-2</v>
      </c>
      <c r="T25" s="11">
        <f>AVERAGE(M24:M25)</f>
        <v>-8.5014998999999994E-2</v>
      </c>
      <c r="U25" s="10">
        <f>AVERAGE(P24:P25)</f>
        <v>-8.785499825000001E-2</v>
      </c>
      <c r="V25" s="10">
        <f t="shared" ref="V25:Y25" si="2">AVERAGE(Q24:Q25)</f>
        <v>-8.6125003500000005E-2</v>
      </c>
      <c r="W25" s="10">
        <f t="shared" si="2"/>
        <v>-8.5524998249999998E-2</v>
      </c>
      <c r="X25" s="10">
        <f t="shared" si="2"/>
        <v>-8.3677500250000009E-2</v>
      </c>
      <c r="Y25" s="10">
        <f t="shared" si="2"/>
        <v>-8.5542499999999994E-2</v>
      </c>
      <c r="AA25" s="27">
        <v>-8.1049999999999997E-2</v>
      </c>
      <c r="AB25" s="49">
        <v>0.6</v>
      </c>
      <c r="AC25" s="58">
        <v>1.9012601685344801E-3</v>
      </c>
      <c r="AD25" s="58">
        <v>1.9012601685344801E-3</v>
      </c>
      <c r="AE25" s="57"/>
      <c r="AH25" s="50" t="s">
        <v>35</v>
      </c>
      <c r="AI25" s="27">
        <v>27.635812078203475</v>
      </c>
      <c r="AJ25" s="32">
        <v>63.480587800343834</v>
      </c>
      <c r="AK25" s="32">
        <v>17.27223539352417</v>
      </c>
      <c r="AL25" s="27">
        <v>42.941939830780029</v>
      </c>
      <c r="AM25" s="32">
        <v>37.832643775712882</v>
      </c>
      <c r="AO25" s="50" t="s">
        <v>36</v>
      </c>
      <c r="AP25">
        <v>35.491379956404366</v>
      </c>
      <c r="AQ25" s="26">
        <v>97.837797800699875</v>
      </c>
      <c r="AR25" s="26">
        <v>10.779286098480224</v>
      </c>
      <c r="AS25">
        <v>21.204395294189453</v>
      </c>
      <c r="AT25" s="32">
        <v>41.328214787443478</v>
      </c>
      <c r="AV25" s="50" t="s">
        <v>37</v>
      </c>
      <c r="AW25">
        <v>55.310904979705811</v>
      </c>
      <c r="AX25" s="26">
        <v>123.8208532333374</v>
      </c>
      <c r="AY25" s="26">
        <v>24.324970483779907</v>
      </c>
      <c r="AZ25">
        <v>61.46303653717041</v>
      </c>
      <c r="BA25" s="32">
        <v>66.229941308498297</v>
      </c>
      <c r="BC25" s="50" t="s">
        <v>38</v>
      </c>
      <c r="BD25">
        <v>55.867854754130043</v>
      </c>
      <c r="BE25" s="26">
        <v>166.90775553385416</v>
      </c>
      <c r="BF25" s="26">
        <v>11.509452819824219</v>
      </c>
      <c r="BG25">
        <v>103.1320595741272</v>
      </c>
      <c r="BH25" s="32">
        <v>84.354280670483902</v>
      </c>
    </row>
    <row r="26" spans="1:60" ht="15" thickBot="1" x14ac:dyDescent="0.35">
      <c r="A26" s="56">
        <v>45632</v>
      </c>
      <c r="B26">
        <v>9.7489997999999994E-2</v>
      </c>
      <c r="C26">
        <v>-8.6570001999999993E-2</v>
      </c>
      <c r="D26">
        <v>9.7489997999999994E-2</v>
      </c>
      <c r="E26">
        <v>-8.6620003000000001E-2</v>
      </c>
      <c r="F26">
        <v>9.7489997999999994E-2</v>
      </c>
      <c r="G26">
        <v>-8.4810003999999994E-2</v>
      </c>
      <c r="H26">
        <v>9.7489997999999994E-2</v>
      </c>
      <c r="I26">
        <v>-8.5210003000000006E-2</v>
      </c>
      <c r="J26">
        <v>9.7489997999999994E-2</v>
      </c>
      <c r="K26">
        <v>-8.3360001000000003E-2</v>
      </c>
      <c r="L26">
        <v>9.7489997999999994E-2</v>
      </c>
      <c r="M26" s="11">
        <v>-8.2110003000000001E-2</v>
      </c>
      <c r="O26">
        <f t="shared" si="0"/>
        <v>9.7489997999999994E-2</v>
      </c>
      <c r="P26" s="10">
        <f>AVERAGE(E24:E26)</f>
        <v>-8.7333333999999999E-2</v>
      </c>
      <c r="Q26">
        <f>AVERAGE(G24:G26)</f>
        <v>-8.551000333333332E-2</v>
      </c>
      <c r="R26">
        <f>AVERAGE(I24:I26)</f>
        <v>-8.5376667333333336E-2</v>
      </c>
      <c r="S26">
        <f>AVERAGE(K24:K26)</f>
        <v>-8.3476667333333351E-2</v>
      </c>
      <c r="T26" s="11">
        <f>AVERAGE(M24:M26)</f>
        <v>-8.4046667000000005E-2</v>
      </c>
      <c r="U26" s="10">
        <f>AVERAGE(P24:P26)</f>
        <v>-8.7681110166666673E-2</v>
      </c>
      <c r="V26" s="10">
        <f t="shared" ref="V26:Y26" si="3">AVERAGE(Q24:Q26)</f>
        <v>-8.5920003444444448E-2</v>
      </c>
      <c r="W26" s="10">
        <f t="shared" si="3"/>
        <v>-8.5475554611111115E-2</v>
      </c>
      <c r="X26" s="10">
        <f t="shared" si="3"/>
        <v>-8.3610555944444456E-2</v>
      </c>
      <c r="Y26" s="10">
        <f t="shared" si="3"/>
        <v>-8.5043888999999998E-2</v>
      </c>
      <c r="AA26" s="27">
        <v>-8.3250000000000005E-2</v>
      </c>
      <c r="AB26" s="49">
        <v>0.45</v>
      </c>
      <c r="AC26" s="58">
        <v>1.21711709759389E-3</v>
      </c>
      <c r="AD26" s="58">
        <v>1.21711709759389E-3</v>
      </c>
      <c r="AE26" s="57"/>
      <c r="AH26" s="50" t="s">
        <v>39</v>
      </c>
      <c r="AI26" s="27">
        <f>ABS(AI25-$AM$25)</f>
        <v>10.196831697509406</v>
      </c>
      <c r="AJ26" s="27">
        <f>ABS(AJ25-$AM$25)</f>
        <v>25.647944024630952</v>
      </c>
      <c r="AK26" s="27">
        <f>ABS(AK25-$AM$25)</f>
        <v>20.560408382188712</v>
      </c>
      <c r="AL26" s="27">
        <f>ABS(AL25-$AM$25)</f>
        <v>5.1092960550671478</v>
      </c>
      <c r="AO26" s="50" t="s">
        <v>39</v>
      </c>
      <c r="AP26" s="27">
        <f>ABS(AP25-$AT$25)</f>
        <v>5.8368348310391127</v>
      </c>
      <c r="AQ26" s="27">
        <f>ABS(AQ25-$AT$25)</f>
        <v>56.509583013256396</v>
      </c>
      <c r="AR26" s="27">
        <f>ABS(AR25-$AT$25)</f>
        <v>30.548928688963255</v>
      </c>
      <c r="AS26" s="27">
        <f>ABS(AS25-$AT$25)</f>
        <v>20.123819493254025</v>
      </c>
      <c r="AV26" s="50" t="s">
        <v>39</v>
      </c>
      <c r="AW26" s="27">
        <f>ABS(AW25-$BA$25)</f>
        <v>10.919036328792487</v>
      </c>
      <c r="AX26" s="27">
        <f>ABS(AX25-$BA$25)</f>
        <v>57.590911924839105</v>
      </c>
      <c r="AY26" s="27">
        <f>ABS(AY25-$BA$25)</f>
        <v>41.90497082471839</v>
      </c>
      <c r="AZ26" s="27">
        <f>ABS(AZ25-$BA$25)</f>
        <v>4.7669047713278871</v>
      </c>
      <c r="BC26" s="50" t="s">
        <v>39</v>
      </c>
      <c r="BD26" s="27">
        <f>ABS(BD25-$BH$25)</f>
        <v>28.486425916353859</v>
      </c>
      <c r="BE26" s="27">
        <f>ABS(BE25-$BH$25)</f>
        <v>82.553474863370255</v>
      </c>
      <c r="BF26" s="27">
        <f>ABS(BF25-$BH$25)</f>
        <v>72.844827850659684</v>
      </c>
      <c r="BG26" s="27">
        <f>ABS(BG25-$BH$25)</f>
        <v>18.777778903643295</v>
      </c>
    </row>
    <row r="27" spans="1:60" ht="15" thickBot="1" x14ac:dyDescent="0.35">
      <c r="A27" s="56">
        <v>45632</v>
      </c>
      <c r="B27">
        <v>0.14744000099999999</v>
      </c>
      <c r="C27">
        <v>-8.6630001999999998E-2</v>
      </c>
      <c r="D27">
        <v>0.14744000099999999</v>
      </c>
      <c r="E27">
        <v>-8.5849999999999996E-2</v>
      </c>
      <c r="F27">
        <v>0.14744000099999999</v>
      </c>
      <c r="G27">
        <v>-8.4140003000000005E-2</v>
      </c>
      <c r="H27">
        <v>0.14744000099999999</v>
      </c>
      <c r="I27">
        <v>-8.5150003000000002E-2</v>
      </c>
      <c r="J27">
        <v>0.14744000099999999</v>
      </c>
      <c r="K27">
        <v>-8.3420000999999994E-2</v>
      </c>
      <c r="L27">
        <v>0.14744000099999999</v>
      </c>
      <c r="M27" s="11">
        <v>-8.1179999000000003E-2</v>
      </c>
      <c r="O27">
        <f t="shared" si="0"/>
        <v>0.14744000099999999</v>
      </c>
      <c r="P27" s="10">
        <f t="shared" ref="P27:P90" si="4">AVERAGE(E25:E27)</f>
        <v>-8.6610001666666658E-2</v>
      </c>
      <c r="Q27">
        <f t="shared" ref="Q27:Q90" si="5">AVERAGE(G25:G27)</f>
        <v>-8.4760003000000014E-2</v>
      </c>
      <c r="R27">
        <f t="shared" ref="R27:R90" si="6">AVERAGE(I25:I27)</f>
        <v>-8.5230002666666652E-2</v>
      </c>
      <c r="S27">
        <f t="shared" ref="S27:S90" si="7">AVERAGE(K25:K27)</f>
        <v>-8.3343334333333338E-2</v>
      </c>
      <c r="T27" s="11">
        <f t="shared" ref="T27:T90" si="8">AVERAGE(M25:M27)</f>
        <v>-8.2416666333333333E-2</v>
      </c>
      <c r="U27" s="10">
        <f>AVERAGE(P25:P27)</f>
        <v>-8.721111172222222E-2</v>
      </c>
      <c r="V27" s="10">
        <f t="shared" ref="V27:Y27" si="9">AVERAGE(Q25:Q27)</f>
        <v>-8.5376669777777789E-2</v>
      </c>
      <c r="W27" s="10">
        <f t="shared" si="9"/>
        <v>-8.5355556499999985E-2</v>
      </c>
      <c r="X27" s="10">
        <f t="shared" si="9"/>
        <v>-8.3451667388888914E-2</v>
      </c>
      <c r="Y27" s="10">
        <f t="shared" si="9"/>
        <v>-8.3826110777777782E-2</v>
      </c>
      <c r="AA27" s="27">
        <v>-8.4279999999999994E-2</v>
      </c>
      <c r="AB27" s="49">
        <v>0.15</v>
      </c>
      <c r="AC27" s="58">
        <v>6.2796697480497197E-4</v>
      </c>
      <c r="AD27" s="58">
        <v>6.2796697480497197E-4</v>
      </c>
      <c r="AE27" s="57"/>
      <c r="AH27" s="50" t="s">
        <v>40</v>
      </c>
      <c r="AI27" s="76">
        <f>SQRT(SUM(AI26:AL26)/4)</f>
        <v>3.9215583687928266</v>
      </c>
      <c r="AJ27" s="77"/>
      <c r="AK27" s="77"/>
      <c r="AL27" s="78"/>
      <c r="AO27" s="50" t="s">
        <v>40</v>
      </c>
      <c r="AP27" s="76">
        <f>SQRT(SUM(AP26:AS26)/4)</f>
        <v>5.3155236342836627</v>
      </c>
      <c r="AQ27" s="77"/>
      <c r="AR27" s="77"/>
      <c r="AS27" s="78"/>
      <c r="AV27" s="50" t="s">
        <v>40</v>
      </c>
      <c r="AW27" s="76">
        <f>SQRT(SUM(AW26:AZ26)/4)</f>
        <v>5.3661397635935151</v>
      </c>
      <c r="AX27" s="77"/>
      <c r="AY27" s="77"/>
      <c r="AZ27" s="78"/>
      <c r="BC27" s="50" t="s">
        <v>40</v>
      </c>
      <c r="BD27" s="76">
        <f>SQRT(SUM(BD26:BG26)/4)</f>
        <v>7.1179791291845449</v>
      </c>
      <c r="BE27" s="77"/>
      <c r="BF27" s="77"/>
      <c r="BG27" s="78"/>
    </row>
    <row r="28" spans="1:60" ht="15" thickBot="1" x14ac:dyDescent="0.35">
      <c r="A28" s="56">
        <v>45632</v>
      </c>
      <c r="B28">
        <v>0.19739000500000001</v>
      </c>
      <c r="C28">
        <v>-8.6659998000000002E-2</v>
      </c>
      <c r="D28" s="24">
        <v>0.19739000500000001</v>
      </c>
      <c r="E28">
        <v>-8.5469998000000005E-2</v>
      </c>
      <c r="F28">
        <v>0.19739000500000001</v>
      </c>
      <c r="G28">
        <v>-8.3810001999999995E-2</v>
      </c>
      <c r="H28">
        <v>0.19739000500000001</v>
      </c>
      <c r="I28">
        <v>-8.5110001000000005E-2</v>
      </c>
      <c r="J28">
        <v>0.19739000500000001</v>
      </c>
      <c r="K28">
        <v>-8.3439998000000001E-2</v>
      </c>
      <c r="L28">
        <v>0.19739000500000001</v>
      </c>
      <c r="M28" s="11">
        <v>-8.0710001000000003E-2</v>
      </c>
      <c r="O28">
        <f>B28</f>
        <v>0.19739000500000001</v>
      </c>
      <c r="P28" s="10">
        <f t="shared" si="4"/>
        <v>-8.598000033333332E-2</v>
      </c>
      <c r="Q28">
        <f t="shared" si="5"/>
        <v>-8.4253336333333331E-2</v>
      </c>
      <c r="R28">
        <f t="shared" si="6"/>
        <v>-8.5156669000000004E-2</v>
      </c>
      <c r="S28">
        <f t="shared" si="7"/>
        <v>-8.3406666666666671E-2</v>
      </c>
      <c r="T28" s="11">
        <f t="shared" si="8"/>
        <v>-8.1333334333333326E-2</v>
      </c>
      <c r="U28" s="10">
        <f>AVERAGE(P26:P28)</f>
        <v>-8.6641111999999978E-2</v>
      </c>
      <c r="V28">
        <f t="shared" ref="V28:X43" si="10">AVERAGE(Q26:Q28)</f>
        <v>-8.4841114222222222E-2</v>
      </c>
      <c r="W28">
        <f t="shared" si="10"/>
        <v>-8.5254446333333331E-2</v>
      </c>
      <c r="X28">
        <f t="shared" si="10"/>
        <v>-8.3408889444444453E-2</v>
      </c>
      <c r="Y28" s="11">
        <f t="shared" ref="Y28:Y59" si="11">AVERAGE(T26:T28)</f>
        <v>-8.2598889222222235E-2</v>
      </c>
      <c r="AA28" s="27">
        <v>-8.5080000000000003E-2</v>
      </c>
      <c r="AB28" s="49">
        <v>0</v>
      </c>
      <c r="AC28" s="58">
        <v>1.2487814136444475E-3</v>
      </c>
      <c r="AD28" s="58">
        <v>1.2487814136444475E-3</v>
      </c>
      <c r="AE28" s="57"/>
    </row>
    <row r="29" spans="1:60" ht="15" thickBot="1" x14ac:dyDescent="0.35">
      <c r="A29" s="56">
        <v>45632</v>
      </c>
      <c r="B29">
        <v>0.24733999400000001</v>
      </c>
      <c r="C29">
        <v>-8.6280002999999994E-2</v>
      </c>
      <c r="D29">
        <v>0.24733999400000001</v>
      </c>
      <c r="E29">
        <v>-8.5280000999999994E-2</v>
      </c>
      <c r="F29">
        <v>0.24733999400000001</v>
      </c>
      <c r="G29">
        <v>-8.3640002000000005E-2</v>
      </c>
      <c r="H29">
        <v>0.24733999400000001</v>
      </c>
      <c r="I29">
        <v>-8.5100002999999994E-2</v>
      </c>
      <c r="J29">
        <v>0.24733999400000001</v>
      </c>
      <c r="K29">
        <v>-8.3860002000000003E-2</v>
      </c>
      <c r="L29">
        <v>0.24733999400000001</v>
      </c>
      <c r="M29" s="11">
        <v>-8.0480001999999995E-2</v>
      </c>
      <c r="O29">
        <f t="shared" ref="O29:O92" si="12">B29</f>
        <v>0.24733999400000001</v>
      </c>
      <c r="P29" s="10">
        <f t="shared" si="4"/>
        <v>-8.5533332999999989E-2</v>
      </c>
      <c r="Q29">
        <f t="shared" si="5"/>
        <v>-8.3863335666666664E-2</v>
      </c>
      <c r="R29">
        <f t="shared" si="6"/>
        <v>-8.5120002333333333E-2</v>
      </c>
      <c r="S29">
        <f t="shared" si="7"/>
        <v>-8.3573333666666652E-2</v>
      </c>
      <c r="T29" s="11">
        <f t="shared" si="8"/>
        <v>-8.0790000666666667E-2</v>
      </c>
      <c r="U29" s="10">
        <f t="shared" ref="U29:X92" si="13">AVERAGE(P27:P29)</f>
        <v>-8.6041111666666656E-2</v>
      </c>
      <c r="V29">
        <f t="shared" si="10"/>
        <v>-8.4292224999999998E-2</v>
      </c>
      <c r="W29">
        <f t="shared" si="10"/>
        <v>-8.516889133333333E-2</v>
      </c>
      <c r="X29">
        <f t="shared" si="10"/>
        <v>-8.3441111555555558E-2</v>
      </c>
      <c r="Y29" s="11">
        <f t="shared" si="11"/>
        <v>-8.151333377777778E-2</v>
      </c>
      <c r="AB29" s="59"/>
    </row>
    <row r="30" spans="1:60" ht="15" thickBot="1" x14ac:dyDescent="0.35">
      <c r="A30" s="56">
        <v>45632</v>
      </c>
      <c r="B30">
        <v>0.29728999699999997</v>
      </c>
      <c r="C30">
        <v>-8.6489997999999998E-2</v>
      </c>
      <c r="D30">
        <v>0.29728999699999997</v>
      </c>
      <c r="E30">
        <v>-8.5179999000000006E-2</v>
      </c>
      <c r="F30">
        <v>0.29728999699999997</v>
      </c>
      <c r="G30">
        <v>-8.3559996999999997E-2</v>
      </c>
      <c r="H30">
        <v>0.29728999699999997</v>
      </c>
      <c r="I30">
        <v>-8.5089996000000001E-2</v>
      </c>
      <c r="J30">
        <v>0.29728999699999997</v>
      </c>
      <c r="K30">
        <v>-8.4069996999999994E-2</v>
      </c>
      <c r="L30">
        <v>0.29728999699999997</v>
      </c>
      <c r="M30" s="11">
        <v>-8.0370000999999996E-2</v>
      </c>
      <c r="O30">
        <f t="shared" si="12"/>
        <v>0.29728999699999997</v>
      </c>
      <c r="P30" s="10">
        <f t="shared" si="4"/>
        <v>-8.5309999333333331E-2</v>
      </c>
      <c r="Q30">
        <f t="shared" si="5"/>
        <v>-8.3670000333333328E-2</v>
      </c>
      <c r="R30">
        <f t="shared" si="6"/>
        <v>-8.5099999999999995E-2</v>
      </c>
      <c r="S30">
        <f t="shared" si="7"/>
        <v>-8.3789999000000004E-2</v>
      </c>
      <c r="T30" s="11">
        <f t="shared" si="8"/>
        <v>-8.0520001333333327E-2</v>
      </c>
      <c r="U30" s="10">
        <f t="shared" si="13"/>
        <v>-8.5607777555555542E-2</v>
      </c>
      <c r="V30">
        <f t="shared" si="10"/>
        <v>-8.3928890777777765E-2</v>
      </c>
      <c r="W30">
        <f t="shared" si="10"/>
        <v>-8.5125557111111125E-2</v>
      </c>
      <c r="X30">
        <f t="shared" si="10"/>
        <v>-8.3589999777777771E-2</v>
      </c>
      <c r="Y30" s="11">
        <f t="shared" si="11"/>
        <v>-8.0881112111111098E-2</v>
      </c>
    </row>
    <row r="31" spans="1:60" ht="15" thickBot="1" x14ac:dyDescent="0.35">
      <c r="A31" s="56">
        <v>45632</v>
      </c>
      <c r="B31">
        <v>0.34724000100000002</v>
      </c>
      <c r="C31">
        <v>-8.6190000000000003E-2</v>
      </c>
      <c r="D31">
        <v>0.34724000100000002</v>
      </c>
      <c r="E31">
        <v>-8.5129998999999998E-2</v>
      </c>
      <c r="F31">
        <v>0.34724000100000002</v>
      </c>
      <c r="G31">
        <v>-8.3509997000000002E-2</v>
      </c>
      <c r="H31">
        <v>0.34724000100000002</v>
      </c>
      <c r="I31">
        <v>-8.5490002999999995E-2</v>
      </c>
      <c r="J31">
        <v>0.34724000100000002</v>
      </c>
      <c r="K31">
        <v>-8.4169998999999995E-2</v>
      </c>
      <c r="L31">
        <v>0.34724000100000002</v>
      </c>
      <c r="M31" s="11">
        <v>-8.0310002000000005E-2</v>
      </c>
      <c r="O31">
        <f t="shared" si="12"/>
        <v>0.34724000100000002</v>
      </c>
      <c r="P31" s="10">
        <f t="shared" si="4"/>
        <v>-8.5196666333333337E-2</v>
      </c>
      <c r="Q31">
        <f t="shared" si="5"/>
        <v>-8.3569998666666659E-2</v>
      </c>
      <c r="R31">
        <f t="shared" si="6"/>
        <v>-8.5226667333333325E-2</v>
      </c>
      <c r="S31">
        <f t="shared" si="7"/>
        <v>-8.4033332666666669E-2</v>
      </c>
      <c r="T31" s="11">
        <f t="shared" si="8"/>
        <v>-8.0386668333333341E-2</v>
      </c>
      <c r="U31" s="10">
        <f t="shared" si="13"/>
        <v>-8.5346666222222214E-2</v>
      </c>
      <c r="V31">
        <f t="shared" si="10"/>
        <v>-8.3701111555555541E-2</v>
      </c>
      <c r="W31">
        <f t="shared" si="10"/>
        <v>-8.5148889888888898E-2</v>
      </c>
      <c r="X31">
        <f t="shared" si="10"/>
        <v>-8.3798888444444442E-2</v>
      </c>
      <c r="Y31" s="11">
        <f t="shared" si="11"/>
        <v>-8.0565556777777783E-2</v>
      </c>
    </row>
    <row r="32" spans="1:60" ht="15" thickBot="1" x14ac:dyDescent="0.35">
      <c r="A32" s="56">
        <v>45632</v>
      </c>
      <c r="B32">
        <v>0.39719000500000001</v>
      </c>
      <c r="C32">
        <v>-8.6039998000000006E-2</v>
      </c>
      <c r="D32">
        <v>0.39719000500000001</v>
      </c>
      <c r="E32">
        <v>-8.5110001000000005E-2</v>
      </c>
      <c r="F32">
        <v>0.39719000500000001</v>
      </c>
      <c r="G32">
        <v>-8.3489998999999995E-2</v>
      </c>
      <c r="H32">
        <v>0.39719000500000001</v>
      </c>
      <c r="I32">
        <v>-8.5290000000000005E-2</v>
      </c>
      <c r="J32">
        <v>0.39719000500000001</v>
      </c>
      <c r="K32">
        <v>-8.4229998E-2</v>
      </c>
      <c r="L32">
        <v>0.39719000500000001</v>
      </c>
      <c r="M32" s="11">
        <v>-8.0279998000000005E-2</v>
      </c>
      <c r="O32">
        <f t="shared" si="12"/>
        <v>0.39719000500000001</v>
      </c>
      <c r="P32" s="10">
        <f t="shared" si="4"/>
        <v>-8.5139999666666674E-2</v>
      </c>
      <c r="Q32">
        <f t="shared" si="5"/>
        <v>-8.3519997666666665E-2</v>
      </c>
      <c r="R32">
        <f t="shared" si="6"/>
        <v>-8.5289999666666658E-2</v>
      </c>
      <c r="S32">
        <f t="shared" si="7"/>
        <v>-8.4156664666666672E-2</v>
      </c>
      <c r="T32" s="11">
        <f t="shared" si="8"/>
        <v>-8.032000033333335E-2</v>
      </c>
      <c r="U32" s="10">
        <f t="shared" si="13"/>
        <v>-8.5215555111111119E-2</v>
      </c>
      <c r="V32">
        <f t="shared" si="10"/>
        <v>-8.358666555555555E-2</v>
      </c>
      <c r="W32">
        <f t="shared" si="10"/>
        <v>-8.5205555666666655E-2</v>
      </c>
      <c r="X32">
        <f t="shared" si="10"/>
        <v>-8.399333211111111E-2</v>
      </c>
      <c r="Y32" s="11">
        <f t="shared" si="11"/>
        <v>-8.0408890000000011E-2</v>
      </c>
    </row>
    <row r="33" spans="1:30" ht="15" thickBot="1" x14ac:dyDescent="0.35">
      <c r="A33" s="56">
        <v>45632</v>
      </c>
      <c r="B33">
        <v>0.44714000799999998</v>
      </c>
      <c r="C33">
        <v>-8.6369999000000003E-2</v>
      </c>
      <c r="D33">
        <v>0.44714000799999998</v>
      </c>
      <c r="E33">
        <v>-8.5100002999999994E-2</v>
      </c>
      <c r="F33">
        <v>0.44714000799999998</v>
      </c>
      <c r="G33">
        <v>-8.3879999999999996E-2</v>
      </c>
      <c r="H33">
        <v>0.44714000799999998</v>
      </c>
      <c r="I33">
        <v>-8.5179999000000006E-2</v>
      </c>
      <c r="J33">
        <v>0.44714000799999998</v>
      </c>
      <c r="K33">
        <v>-8.4250003000000004E-2</v>
      </c>
      <c r="L33">
        <v>0.44714000799999998</v>
      </c>
      <c r="M33" s="11">
        <v>-8.0260000999999997E-2</v>
      </c>
      <c r="O33">
        <f t="shared" si="12"/>
        <v>0.44714000799999998</v>
      </c>
      <c r="P33" s="10">
        <f t="shared" si="4"/>
        <v>-8.5113334333333332E-2</v>
      </c>
      <c r="Q33">
        <f t="shared" si="5"/>
        <v>-8.3626665333333336E-2</v>
      </c>
      <c r="R33">
        <f t="shared" si="6"/>
        <v>-8.5320000666666673E-2</v>
      </c>
      <c r="S33">
        <f t="shared" si="7"/>
        <v>-8.4216666666666662E-2</v>
      </c>
      <c r="T33" s="11">
        <f t="shared" si="8"/>
        <v>-8.0283333666666665E-2</v>
      </c>
      <c r="U33" s="10">
        <f t="shared" si="13"/>
        <v>-8.5150000111111124E-2</v>
      </c>
      <c r="V33">
        <f t="shared" si="10"/>
        <v>-8.3572220555555563E-2</v>
      </c>
      <c r="W33">
        <f t="shared" si="10"/>
        <v>-8.5278889222222223E-2</v>
      </c>
      <c r="X33">
        <f t="shared" si="10"/>
        <v>-8.4135554666666668E-2</v>
      </c>
      <c r="Y33" s="11">
        <f t="shared" si="11"/>
        <v>-8.0330000777777785E-2</v>
      </c>
    </row>
    <row r="34" spans="1:30" ht="15" thickBot="1" x14ac:dyDescent="0.35">
      <c r="A34" s="56">
        <v>45632</v>
      </c>
      <c r="B34">
        <v>0.49709001200000003</v>
      </c>
      <c r="C34">
        <v>-8.6529999999999996E-2</v>
      </c>
      <c r="D34">
        <v>0.49709001200000003</v>
      </c>
      <c r="E34">
        <v>-8.5089996000000001E-2</v>
      </c>
      <c r="F34">
        <v>0.49709001200000003</v>
      </c>
      <c r="G34">
        <v>-8.4080003E-2</v>
      </c>
      <c r="H34">
        <v>0.49709001200000003</v>
      </c>
      <c r="I34">
        <v>-8.5539997000000006E-2</v>
      </c>
      <c r="J34">
        <v>0.49709001200000003</v>
      </c>
      <c r="K34">
        <v>-8.4260002000000001E-2</v>
      </c>
      <c r="L34">
        <v>0.49709001200000003</v>
      </c>
      <c r="M34" s="11">
        <v>-8.0260000999999997E-2</v>
      </c>
      <c r="O34">
        <f t="shared" si="12"/>
        <v>0.49709001200000003</v>
      </c>
      <c r="P34" s="10">
        <f t="shared" si="4"/>
        <v>-8.5099999999999995E-2</v>
      </c>
      <c r="Q34">
        <f t="shared" si="5"/>
        <v>-8.3816667333333331E-2</v>
      </c>
      <c r="R34">
        <f t="shared" si="6"/>
        <v>-8.5336665333333339E-2</v>
      </c>
      <c r="S34">
        <f t="shared" si="7"/>
        <v>-8.4246667666666664E-2</v>
      </c>
      <c r="T34" s="11">
        <f t="shared" si="8"/>
        <v>-8.0266666666666667E-2</v>
      </c>
      <c r="U34" s="10">
        <f t="shared" si="13"/>
        <v>-8.5117777999999991E-2</v>
      </c>
      <c r="V34">
        <f t="shared" si="10"/>
        <v>-8.3654443444444448E-2</v>
      </c>
      <c r="W34">
        <f t="shared" si="10"/>
        <v>-8.5315555222222228E-2</v>
      </c>
      <c r="X34">
        <f t="shared" si="10"/>
        <v>-8.4206666333333333E-2</v>
      </c>
      <c r="Y34" s="11">
        <f t="shared" si="11"/>
        <v>-8.0290000222222227E-2</v>
      </c>
      <c r="AA34" s="75" t="s">
        <v>70</v>
      </c>
      <c r="AB34" s="75"/>
      <c r="AC34" s="50" t="s">
        <v>72</v>
      </c>
      <c r="AD34" s="50" t="s">
        <v>71</v>
      </c>
    </row>
    <row r="35" spans="1:30" ht="15" thickBot="1" x14ac:dyDescent="0.35">
      <c r="A35" s="56">
        <v>45632</v>
      </c>
      <c r="B35">
        <v>0.54704999899999995</v>
      </c>
      <c r="C35">
        <v>-8.6609996999999994E-2</v>
      </c>
      <c r="D35">
        <v>0.54704999899999995</v>
      </c>
      <c r="E35">
        <v>-8.5089996000000001E-2</v>
      </c>
      <c r="F35">
        <v>0.54704999899999995</v>
      </c>
      <c r="G35">
        <v>-8.3779997999999994E-2</v>
      </c>
      <c r="H35">
        <v>0.54704999899999995</v>
      </c>
      <c r="I35">
        <v>-8.5709996999999996E-2</v>
      </c>
      <c r="J35">
        <v>0.54704999899999995</v>
      </c>
      <c r="K35">
        <v>-8.4269999999999998E-2</v>
      </c>
      <c r="L35">
        <v>0.54704999899999995</v>
      </c>
      <c r="M35" s="11">
        <v>-8.0250002000000001E-2</v>
      </c>
      <c r="O35">
        <f t="shared" si="12"/>
        <v>0.54704999899999995</v>
      </c>
      <c r="P35" s="10">
        <f t="shared" si="4"/>
        <v>-8.5093331666666661E-2</v>
      </c>
      <c r="Q35">
        <f t="shared" si="5"/>
        <v>-8.3913333666666659E-2</v>
      </c>
      <c r="R35">
        <f t="shared" si="6"/>
        <v>-8.5476664333333341E-2</v>
      </c>
      <c r="S35">
        <f t="shared" si="7"/>
        <v>-8.4260001666666681E-2</v>
      </c>
      <c r="T35" s="11">
        <f t="shared" si="8"/>
        <v>-8.0256667999999989E-2</v>
      </c>
      <c r="U35" s="10">
        <f t="shared" si="13"/>
        <v>-8.5102221999999991E-2</v>
      </c>
      <c r="V35">
        <f t="shared" si="10"/>
        <v>-8.3785555444444437E-2</v>
      </c>
      <c r="W35">
        <f t="shared" si="10"/>
        <v>-8.5377776777777789E-2</v>
      </c>
      <c r="X35">
        <f t="shared" si="10"/>
        <v>-8.4241112000000007E-2</v>
      </c>
      <c r="Y35" s="11">
        <f t="shared" si="11"/>
        <v>-8.0268889444444436E-2</v>
      </c>
      <c r="AA35" s="32">
        <f t="array" ref="AA35:AB39">LINEST(AA25:AA28,AB25:AB28,TRUE,TRUE)</f>
        <v>6.0600000000000011E-3</v>
      </c>
      <c r="AB35" s="27">
        <v>-8.5233000000000003E-2</v>
      </c>
      <c r="AC35" s="27">
        <f>AA35</f>
        <v>6.0600000000000011E-3</v>
      </c>
      <c r="AD35" s="27">
        <f>AB37</f>
        <v>6.6260470870648446E-4</v>
      </c>
    </row>
    <row r="36" spans="1:30" ht="15" thickBot="1" x14ac:dyDescent="0.35">
      <c r="A36" s="56">
        <v>45632</v>
      </c>
      <c r="B36">
        <v>0.597000003</v>
      </c>
      <c r="C36">
        <v>-8.6649999000000005E-2</v>
      </c>
      <c r="D36">
        <v>0.597000003</v>
      </c>
      <c r="E36">
        <v>-8.5079998000000004E-2</v>
      </c>
      <c r="F36">
        <v>0.597000003</v>
      </c>
      <c r="G36">
        <v>-8.4030002000000006E-2</v>
      </c>
      <c r="H36">
        <v>0.597000003</v>
      </c>
      <c r="I36">
        <v>-8.5800000000000001E-2</v>
      </c>
      <c r="J36">
        <v>0.597000003</v>
      </c>
      <c r="K36">
        <v>-8.4269999999999998E-2</v>
      </c>
      <c r="L36">
        <v>0.597000003</v>
      </c>
      <c r="M36" s="11">
        <v>-8.0250002000000001E-2</v>
      </c>
      <c r="O36">
        <f t="shared" si="12"/>
        <v>0.597000003</v>
      </c>
      <c r="P36" s="10">
        <f t="shared" si="4"/>
        <v>-8.5086663333333326E-2</v>
      </c>
      <c r="Q36">
        <f t="shared" si="5"/>
        <v>-8.396333433333332E-2</v>
      </c>
      <c r="R36">
        <f t="shared" si="6"/>
        <v>-8.5683331333333335E-2</v>
      </c>
      <c r="S36">
        <f t="shared" si="7"/>
        <v>-8.4266667333333337E-2</v>
      </c>
      <c r="T36" s="11">
        <f t="shared" si="8"/>
        <v>-8.0253334999999995E-2</v>
      </c>
      <c r="U36" s="10">
        <f t="shared" si="13"/>
        <v>-8.5093331666666661E-2</v>
      </c>
      <c r="V36">
        <f t="shared" si="10"/>
        <v>-8.3897778444444446E-2</v>
      </c>
      <c r="W36">
        <f t="shared" si="10"/>
        <v>-8.549888700000001E-2</v>
      </c>
      <c r="X36">
        <f t="shared" si="10"/>
        <v>-8.4257778888888898E-2</v>
      </c>
      <c r="Y36" s="11">
        <f t="shared" si="11"/>
        <v>-8.0258889888888893E-2</v>
      </c>
      <c r="AA36" s="27">
        <v>1.3968933785765947E-3</v>
      </c>
      <c r="AB36" s="27">
        <v>5.3420899468279565E-4</v>
      </c>
    </row>
    <row r="37" spans="1:30" ht="15" thickBot="1" x14ac:dyDescent="0.35">
      <c r="A37" s="56">
        <v>45632</v>
      </c>
      <c r="B37">
        <v>0.64695000599999997</v>
      </c>
      <c r="C37">
        <v>-8.6669995999999999E-2</v>
      </c>
      <c r="D37">
        <v>0.64695000599999997</v>
      </c>
      <c r="E37">
        <v>-8.5079998000000004E-2</v>
      </c>
      <c r="F37">
        <v>0.64695000599999997</v>
      </c>
      <c r="G37">
        <v>-8.4150001000000002E-2</v>
      </c>
      <c r="H37">
        <v>0.64695000599999997</v>
      </c>
      <c r="I37">
        <v>-8.5840001999999999E-2</v>
      </c>
      <c r="J37">
        <v>0.64695000599999997</v>
      </c>
      <c r="K37">
        <v>-8.4279998999999994E-2</v>
      </c>
      <c r="L37">
        <v>0.64695000599999997</v>
      </c>
      <c r="M37" s="11">
        <v>-8.0250002000000001E-2</v>
      </c>
      <c r="O37">
        <f t="shared" si="12"/>
        <v>0.64695000599999997</v>
      </c>
      <c r="P37" s="10">
        <f t="shared" si="4"/>
        <v>-8.5083330666666665E-2</v>
      </c>
      <c r="Q37">
        <f t="shared" si="5"/>
        <v>-8.3986667000000015E-2</v>
      </c>
      <c r="R37">
        <f t="shared" si="6"/>
        <v>-8.5783333000000003E-2</v>
      </c>
      <c r="S37">
        <f t="shared" si="7"/>
        <v>-8.4273332999999992E-2</v>
      </c>
      <c r="T37" s="11">
        <f t="shared" si="8"/>
        <v>-8.0250002000000001E-2</v>
      </c>
      <c r="U37" s="10">
        <f t="shared" si="13"/>
        <v>-8.5087775222222217E-2</v>
      </c>
      <c r="V37">
        <f t="shared" si="10"/>
        <v>-8.3954445000000003E-2</v>
      </c>
      <c r="W37">
        <f t="shared" si="10"/>
        <v>-8.5647776222222236E-2</v>
      </c>
      <c r="X37">
        <f t="shared" si="10"/>
        <v>-8.4266667333333337E-2</v>
      </c>
      <c r="Y37" s="11">
        <f t="shared" si="11"/>
        <v>-8.0253334999999995E-2</v>
      </c>
      <c r="AA37" s="27">
        <v>0.9039383430515584</v>
      </c>
      <c r="AB37" s="32">
        <v>6.6260470870648446E-4</v>
      </c>
    </row>
    <row r="38" spans="1:30" ht="15" thickBot="1" x14ac:dyDescent="0.35">
      <c r="A38" s="56">
        <v>45632</v>
      </c>
      <c r="B38">
        <v>0.69690001000000001</v>
      </c>
      <c r="C38">
        <v>-8.6680003000000005E-2</v>
      </c>
      <c r="D38">
        <v>0.69690001000000001</v>
      </c>
      <c r="E38">
        <v>-8.5079998000000004E-2</v>
      </c>
      <c r="F38">
        <v>0.69690001000000001</v>
      </c>
      <c r="G38">
        <v>-8.4210001000000007E-2</v>
      </c>
      <c r="H38">
        <v>0.69690001000000001</v>
      </c>
      <c r="I38">
        <v>-8.5869998000000003E-2</v>
      </c>
      <c r="J38">
        <v>0.69690001000000001</v>
      </c>
      <c r="K38">
        <v>-8.4279998999999994E-2</v>
      </c>
      <c r="L38">
        <v>0.69690001000000001</v>
      </c>
      <c r="M38" s="11">
        <v>-8.0250002000000001E-2</v>
      </c>
      <c r="O38">
        <f t="shared" si="12"/>
        <v>0.69690001000000001</v>
      </c>
      <c r="P38" s="10">
        <f t="shared" si="4"/>
        <v>-8.5079998000000004E-2</v>
      </c>
      <c r="Q38">
        <f t="shared" si="5"/>
        <v>-8.4130001333333329E-2</v>
      </c>
      <c r="R38">
        <f t="shared" si="6"/>
        <v>-8.5836666666666672E-2</v>
      </c>
      <c r="S38">
        <f t="shared" si="7"/>
        <v>-8.4276666E-2</v>
      </c>
      <c r="T38" s="11">
        <f t="shared" si="8"/>
        <v>-8.0250002000000001E-2</v>
      </c>
      <c r="U38" s="10">
        <f t="shared" si="13"/>
        <v>-8.5083330666666665E-2</v>
      </c>
      <c r="V38">
        <f t="shared" si="10"/>
        <v>-8.4026667555555545E-2</v>
      </c>
      <c r="W38">
        <f t="shared" si="10"/>
        <v>-8.5767777000000003E-2</v>
      </c>
      <c r="X38">
        <f t="shared" si="10"/>
        <v>-8.4272222111111114E-2</v>
      </c>
      <c r="Y38" s="11">
        <f t="shared" si="11"/>
        <v>-8.0251112999999999E-2</v>
      </c>
      <c r="AA38" s="27">
        <v>18.819961507362354</v>
      </c>
      <c r="AB38" s="27">
        <v>2</v>
      </c>
    </row>
    <row r="39" spans="1:30" ht="15" thickBot="1" x14ac:dyDescent="0.35">
      <c r="A39" s="56">
        <v>45632</v>
      </c>
      <c r="B39">
        <v>0.74685001399999995</v>
      </c>
      <c r="C39">
        <v>-8.6290002000000005E-2</v>
      </c>
      <c r="D39">
        <v>0.74685001399999995</v>
      </c>
      <c r="E39">
        <v>-8.5079998000000004E-2</v>
      </c>
      <c r="F39">
        <v>0.74685001399999995</v>
      </c>
      <c r="G39">
        <v>-8.4250003000000004E-2</v>
      </c>
      <c r="H39">
        <v>0.74685001399999995</v>
      </c>
      <c r="I39">
        <v>-8.5879996E-2</v>
      </c>
      <c r="J39">
        <v>0.74685001399999995</v>
      </c>
      <c r="K39">
        <v>-8.4279998999999994E-2</v>
      </c>
      <c r="L39">
        <v>0.74685001399999995</v>
      </c>
      <c r="M39" s="11">
        <v>-8.0250002000000001E-2</v>
      </c>
      <c r="O39">
        <f t="shared" si="12"/>
        <v>0.74685001399999995</v>
      </c>
      <c r="P39" s="10">
        <f t="shared" si="4"/>
        <v>-8.5079998000000004E-2</v>
      </c>
      <c r="Q39">
        <f t="shared" si="5"/>
        <v>-8.4203335000000004E-2</v>
      </c>
      <c r="R39">
        <f t="shared" si="6"/>
        <v>-8.5863332000000001E-2</v>
      </c>
      <c r="S39">
        <f t="shared" si="7"/>
        <v>-8.4279998999999994E-2</v>
      </c>
      <c r="T39" s="11">
        <f t="shared" si="8"/>
        <v>-8.0250002000000001E-2</v>
      </c>
      <c r="U39" s="10">
        <f t="shared" si="13"/>
        <v>-8.5081108888888882E-2</v>
      </c>
      <c r="V39">
        <f t="shared" si="10"/>
        <v>-8.4106667777777769E-2</v>
      </c>
      <c r="W39">
        <f t="shared" si="10"/>
        <v>-8.5827777222222235E-2</v>
      </c>
      <c r="X39">
        <f t="shared" si="10"/>
        <v>-8.4276666E-2</v>
      </c>
      <c r="Y39" s="11">
        <f t="shared" si="11"/>
        <v>-8.0250002000000001E-2</v>
      </c>
      <c r="AA39" s="27">
        <v>8.2628100000000006E-6</v>
      </c>
      <c r="AB39" s="27">
        <v>8.7809000000001021E-7</v>
      </c>
    </row>
    <row r="40" spans="1:30" ht="15" thickBot="1" x14ac:dyDescent="0.35">
      <c r="A40" s="56">
        <v>45632</v>
      </c>
      <c r="B40">
        <v>0.79680001700000003</v>
      </c>
      <c r="C40">
        <v>-8.6089998000000001E-2</v>
      </c>
      <c r="D40">
        <v>0.79680001700000003</v>
      </c>
      <c r="E40">
        <v>-8.5079998000000004E-2</v>
      </c>
      <c r="F40">
        <v>0.79680001700000003</v>
      </c>
      <c r="G40">
        <v>-8.4260002000000001E-2</v>
      </c>
      <c r="H40">
        <v>0.79680001700000003</v>
      </c>
      <c r="I40">
        <v>-8.5479997000000002E-2</v>
      </c>
      <c r="J40">
        <v>0.79680001700000003</v>
      </c>
      <c r="K40">
        <v>-8.4279998999999994E-2</v>
      </c>
      <c r="L40">
        <v>0.79680001700000003</v>
      </c>
      <c r="M40" s="11">
        <v>-8.0250002000000001E-2</v>
      </c>
      <c r="O40">
        <f t="shared" si="12"/>
        <v>0.79680001700000003</v>
      </c>
      <c r="P40" s="10">
        <f t="shared" si="4"/>
        <v>-8.5079998000000004E-2</v>
      </c>
      <c r="Q40">
        <f t="shared" si="5"/>
        <v>-8.4240001999999994E-2</v>
      </c>
      <c r="R40">
        <f t="shared" si="6"/>
        <v>-8.5743330333333326E-2</v>
      </c>
      <c r="S40">
        <f t="shared" si="7"/>
        <v>-8.4279998999999994E-2</v>
      </c>
      <c r="T40" s="11">
        <f t="shared" si="8"/>
        <v>-8.0250002000000001E-2</v>
      </c>
      <c r="U40" s="10">
        <f t="shared" si="13"/>
        <v>-8.5079998000000004E-2</v>
      </c>
      <c r="V40">
        <f t="shared" si="10"/>
        <v>-8.4191112777777785E-2</v>
      </c>
      <c r="W40">
        <f t="shared" si="10"/>
        <v>-8.5814443000000004E-2</v>
      </c>
      <c r="X40">
        <f t="shared" si="10"/>
        <v>-8.4278887999999996E-2</v>
      </c>
      <c r="Y40" s="11">
        <f t="shared" si="11"/>
        <v>-8.0250002000000001E-2</v>
      </c>
    </row>
    <row r="41" spans="1:30" ht="15" thickBot="1" x14ac:dyDescent="0.35">
      <c r="A41" s="56">
        <v>45632</v>
      </c>
      <c r="B41">
        <v>0.84675002099999996</v>
      </c>
      <c r="C41">
        <v>-8.6390004000000006E-2</v>
      </c>
      <c r="D41">
        <v>0.84675002099999996</v>
      </c>
      <c r="E41">
        <v>-8.5079998000000004E-2</v>
      </c>
      <c r="F41">
        <v>0.84675002099999996</v>
      </c>
      <c r="G41">
        <v>-8.4269999999999998E-2</v>
      </c>
      <c r="H41">
        <v>0.84675002099999996</v>
      </c>
      <c r="I41">
        <v>-8.5280000999999994E-2</v>
      </c>
      <c r="J41">
        <v>0.84675002099999996</v>
      </c>
      <c r="K41">
        <v>-8.4679998000000006E-2</v>
      </c>
      <c r="L41">
        <v>0.84675002099999996</v>
      </c>
      <c r="M41" s="11">
        <v>-8.0650001999999998E-2</v>
      </c>
      <c r="O41">
        <f t="shared" si="12"/>
        <v>0.84675002099999996</v>
      </c>
      <c r="P41" s="10">
        <f t="shared" si="4"/>
        <v>-8.5079998000000004E-2</v>
      </c>
      <c r="Q41">
        <f t="shared" si="5"/>
        <v>-8.4260001666666681E-2</v>
      </c>
      <c r="R41">
        <f t="shared" si="6"/>
        <v>-8.5546664666666661E-2</v>
      </c>
      <c r="S41">
        <f t="shared" si="7"/>
        <v>-8.4413332000000008E-2</v>
      </c>
      <c r="T41" s="11">
        <f t="shared" si="8"/>
        <v>-8.0383335333333333E-2</v>
      </c>
      <c r="U41" s="10">
        <f t="shared" si="13"/>
        <v>-8.5079998000000004E-2</v>
      </c>
      <c r="V41">
        <f t="shared" si="10"/>
        <v>-8.4234446222222217E-2</v>
      </c>
      <c r="W41">
        <f t="shared" si="10"/>
        <v>-8.5717775666666662E-2</v>
      </c>
      <c r="X41">
        <f t="shared" si="10"/>
        <v>-8.4324443333333332E-2</v>
      </c>
      <c r="Y41" s="11">
        <f t="shared" si="11"/>
        <v>-8.0294446444444445E-2</v>
      </c>
    </row>
    <row r="42" spans="1:30" ht="15" thickBot="1" x14ac:dyDescent="0.35">
      <c r="A42" s="56">
        <v>45632</v>
      </c>
      <c r="B42">
        <v>0.89670002500000001</v>
      </c>
      <c r="C42">
        <v>-8.6539999000000006E-2</v>
      </c>
      <c r="D42">
        <v>0.89670002500000001</v>
      </c>
      <c r="E42">
        <v>-8.5079998000000004E-2</v>
      </c>
      <c r="F42">
        <v>0.89670002500000001</v>
      </c>
      <c r="G42">
        <v>-8.4269999999999998E-2</v>
      </c>
      <c r="H42">
        <v>0.89670002500000001</v>
      </c>
      <c r="I42">
        <v>-8.5589997000000001E-2</v>
      </c>
      <c r="J42">
        <v>0.89670002500000001</v>
      </c>
      <c r="K42">
        <v>-8.4480002999999998E-2</v>
      </c>
      <c r="L42">
        <v>0.89670002500000001</v>
      </c>
      <c r="M42" s="11">
        <v>-8.0449997999999995E-2</v>
      </c>
      <c r="O42">
        <f t="shared" si="12"/>
        <v>0.89670002500000001</v>
      </c>
      <c r="P42" s="10">
        <f t="shared" si="4"/>
        <v>-8.5079998000000004E-2</v>
      </c>
      <c r="Q42">
        <f t="shared" si="5"/>
        <v>-8.4266667333333337E-2</v>
      </c>
      <c r="R42">
        <f t="shared" si="6"/>
        <v>-8.5449998333333332E-2</v>
      </c>
      <c r="S42">
        <f t="shared" si="7"/>
        <v>-8.448E-2</v>
      </c>
      <c r="T42" s="11">
        <f t="shared" si="8"/>
        <v>-8.045000066666666E-2</v>
      </c>
      <c r="U42" s="10">
        <f t="shared" si="13"/>
        <v>-8.5079998000000004E-2</v>
      </c>
      <c r="V42">
        <f t="shared" si="10"/>
        <v>-8.4255556999999995E-2</v>
      </c>
      <c r="W42">
        <f t="shared" si="10"/>
        <v>-8.5579997777777764E-2</v>
      </c>
      <c r="X42">
        <f t="shared" si="10"/>
        <v>-8.4391110333333338E-2</v>
      </c>
      <c r="Y42" s="11">
        <f t="shared" si="11"/>
        <v>-8.0361112666666665E-2</v>
      </c>
    </row>
    <row r="43" spans="1:30" ht="15" thickBot="1" x14ac:dyDescent="0.35">
      <c r="A43" s="56">
        <v>45632</v>
      </c>
      <c r="B43">
        <v>0.89911997300000002</v>
      </c>
      <c r="C43">
        <v>-8.6620003000000001E-2</v>
      </c>
      <c r="D43">
        <v>0.89911997300000002</v>
      </c>
      <c r="E43">
        <v>-8.5079998000000004E-2</v>
      </c>
      <c r="F43">
        <v>0.89911997300000002</v>
      </c>
      <c r="G43">
        <v>-8.4279998999999994E-2</v>
      </c>
      <c r="H43">
        <v>0.89911997300000002</v>
      </c>
      <c r="I43">
        <v>-8.5739999999999997E-2</v>
      </c>
      <c r="J43">
        <v>0.89911997300000002</v>
      </c>
      <c r="K43">
        <v>-8.4779999999999994E-2</v>
      </c>
      <c r="L43">
        <v>0.89911997300000002</v>
      </c>
      <c r="M43" s="11">
        <v>-8.0750003000000001E-2</v>
      </c>
      <c r="O43">
        <f t="shared" si="12"/>
        <v>0.89911997300000002</v>
      </c>
      <c r="P43" s="10">
        <f t="shared" si="4"/>
        <v>-8.5079998000000004E-2</v>
      </c>
      <c r="Q43">
        <f t="shared" si="5"/>
        <v>-8.4273332999999992E-2</v>
      </c>
      <c r="R43">
        <f t="shared" si="6"/>
        <v>-8.5536665999999997E-2</v>
      </c>
      <c r="S43">
        <f t="shared" si="7"/>
        <v>-8.4646667000000009E-2</v>
      </c>
      <c r="T43" s="11">
        <f t="shared" si="8"/>
        <v>-8.0616667666666655E-2</v>
      </c>
      <c r="U43" s="10">
        <f t="shared" si="13"/>
        <v>-8.5079998000000004E-2</v>
      </c>
      <c r="V43">
        <f t="shared" si="10"/>
        <v>-8.4266667333333337E-2</v>
      </c>
      <c r="W43">
        <f t="shared" si="10"/>
        <v>-8.5511109666666654E-2</v>
      </c>
      <c r="X43">
        <f t="shared" si="10"/>
        <v>-8.451333300000001E-2</v>
      </c>
      <c r="Y43" s="11">
        <f t="shared" si="11"/>
        <v>-8.048333455555555E-2</v>
      </c>
      <c r="AA43" s="50" t="s">
        <v>20</v>
      </c>
      <c r="AB43" s="27">
        <f>3.3*AD35/AC35</f>
        <v>0.36082434632531318</v>
      </c>
      <c r="AC43" t="s">
        <v>21</v>
      </c>
    </row>
    <row r="44" spans="1:30" ht="15" thickBot="1" x14ac:dyDescent="0.35">
      <c r="A44" s="56">
        <v>45632</v>
      </c>
      <c r="B44">
        <v>0.84917002900000005</v>
      </c>
      <c r="C44">
        <v>-8.6659998000000002E-2</v>
      </c>
      <c r="D44">
        <v>0.84917002900000005</v>
      </c>
      <c r="E44">
        <v>-8.5079998000000004E-2</v>
      </c>
      <c r="F44">
        <v>0.84917002900000005</v>
      </c>
      <c r="G44">
        <v>-8.4279998999999994E-2</v>
      </c>
      <c r="H44">
        <v>0.84917002900000005</v>
      </c>
      <c r="I44">
        <v>-8.5809997999999998E-2</v>
      </c>
      <c r="J44">
        <v>0.84917002900000005</v>
      </c>
      <c r="K44">
        <v>-8.4930003000000004E-2</v>
      </c>
      <c r="L44">
        <v>0.84917002900000005</v>
      </c>
      <c r="M44" s="11">
        <v>-8.0899999E-2</v>
      </c>
      <c r="O44">
        <f t="shared" si="12"/>
        <v>0.84917002900000005</v>
      </c>
      <c r="P44" s="10">
        <f t="shared" si="4"/>
        <v>-8.5079998000000004E-2</v>
      </c>
      <c r="Q44">
        <f t="shared" si="5"/>
        <v>-8.4276666E-2</v>
      </c>
      <c r="R44">
        <f t="shared" si="6"/>
        <v>-8.571333166666667E-2</v>
      </c>
      <c r="S44">
        <f t="shared" si="7"/>
        <v>-8.4730001999999985E-2</v>
      </c>
      <c r="T44" s="11">
        <f t="shared" si="8"/>
        <v>-8.0699999999999994E-2</v>
      </c>
      <c r="U44" s="10">
        <f t="shared" si="13"/>
        <v>-8.5079998000000004E-2</v>
      </c>
      <c r="V44">
        <f t="shared" si="13"/>
        <v>-8.4272222111111114E-2</v>
      </c>
      <c r="W44">
        <f t="shared" si="13"/>
        <v>-8.5566665333333333E-2</v>
      </c>
      <c r="X44">
        <f t="shared" si="13"/>
        <v>-8.4618889666666655E-2</v>
      </c>
      <c r="Y44" s="11">
        <f t="shared" si="11"/>
        <v>-8.0588889444444436E-2</v>
      </c>
      <c r="AA44" s="50" t="s">
        <v>22</v>
      </c>
      <c r="AB44" s="27">
        <f>10*AD35/AC35</f>
        <v>1.0934071100767069</v>
      </c>
      <c r="AC44" t="s">
        <v>21</v>
      </c>
    </row>
    <row r="45" spans="1:30" ht="15" thickBot="1" x14ac:dyDescent="0.35">
      <c r="A45" s="56">
        <v>45632</v>
      </c>
      <c r="B45">
        <v>0.79922002599999997</v>
      </c>
      <c r="C45">
        <v>-8.6680003000000005E-2</v>
      </c>
      <c r="D45">
        <v>0.79922002599999997</v>
      </c>
      <c r="E45">
        <v>-8.5079998000000004E-2</v>
      </c>
      <c r="F45">
        <v>0.79922002599999997</v>
      </c>
      <c r="G45">
        <v>-8.4679998000000006E-2</v>
      </c>
      <c r="H45">
        <v>0.79922002599999997</v>
      </c>
      <c r="I45">
        <v>-8.5849999999999996E-2</v>
      </c>
      <c r="J45">
        <v>0.79922002599999997</v>
      </c>
      <c r="K45">
        <v>-8.5010000000000002E-2</v>
      </c>
      <c r="L45">
        <v>0.79922002599999997</v>
      </c>
      <c r="M45" s="11">
        <v>-8.0980002999999995E-2</v>
      </c>
      <c r="O45">
        <f t="shared" si="12"/>
        <v>0.79922002599999997</v>
      </c>
      <c r="P45" s="10">
        <f t="shared" si="4"/>
        <v>-8.5079998000000004E-2</v>
      </c>
      <c r="Q45">
        <f t="shared" si="5"/>
        <v>-8.4413332000000008E-2</v>
      </c>
      <c r="R45">
        <f t="shared" si="6"/>
        <v>-8.5799999333333321E-2</v>
      </c>
      <c r="S45">
        <f t="shared" si="7"/>
        <v>-8.4906667666666658E-2</v>
      </c>
      <c r="T45" s="11">
        <f t="shared" si="8"/>
        <v>-8.0876668333333332E-2</v>
      </c>
      <c r="U45" s="10">
        <f t="shared" si="13"/>
        <v>-8.5079998000000004E-2</v>
      </c>
      <c r="V45">
        <f t="shared" si="13"/>
        <v>-8.4321110333333338E-2</v>
      </c>
      <c r="W45">
        <f t="shared" si="13"/>
        <v>-8.568333233333332E-2</v>
      </c>
      <c r="X45">
        <f t="shared" si="13"/>
        <v>-8.4761112222222212E-2</v>
      </c>
      <c r="Y45" s="11">
        <f t="shared" si="11"/>
        <v>-8.0731111999999994E-2</v>
      </c>
    </row>
    <row r="46" spans="1:30" ht="15" thickBot="1" x14ac:dyDescent="0.35">
      <c r="A46" s="56">
        <v>45632</v>
      </c>
      <c r="B46">
        <v>0.74927002200000004</v>
      </c>
      <c r="C46">
        <v>-8.7090001E-2</v>
      </c>
      <c r="D46">
        <v>0.74927002200000004</v>
      </c>
      <c r="E46">
        <v>-8.5079998000000004E-2</v>
      </c>
      <c r="F46">
        <v>0.74927002200000004</v>
      </c>
      <c r="G46">
        <v>-8.4480002999999998E-2</v>
      </c>
      <c r="H46">
        <v>0.74927002200000004</v>
      </c>
      <c r="I46">
        <v>-8.5469998000000005E-2</v>
      </c>
      <c r="J46">
        <v>0.74927002200000004</v>
      </c>
      <c r="K46">
        <v>-8.4639995999999995E-2</v>
      </c>
      <c r="L46">
        <v>0.74927002200000004</v>
      </c>
      <c r="M46" s="11">
        <v>-8.0610000000000001E-2</v>
      </c>
      <c r="O46">
        <f t="shared" si="12"/>
        <v>0.74927002200000004</v>
      </c>
      <c r="P46" s="10">
        <f t="shared" si="4"/>
        <v>-8.5079998000000004E-2</v>
      </c>
      <c r="Q46">
        <f t="shared" si="5"/>
        <v>-8.448E-2</v>
      </c>
      <c r="R46">
        <f t="shared" si="6"/>
        <v>-8.5709998666666662E-2</v>
      </c>
      <c r="S46">
        <f t="shared" si="7"/>
        <v>-8.4859999666666672E-2</v>
      </c>
      <c r="T46" s="11">
        <f t="shared" si="8"/>
        <v>-8.0830000666666665E-2</v>
      </c>
      <c r="U46" s="10">
        <f t="shared" si="13"/>
        <v>-8.5079998000000004E-2</v>
      </c>
      <c r="V46">
        <f t="shared" si="13"/>
        <v>-8.438999933333334E-2</v>
      </c>
      <c r="W46">
        <f t="shared" si="13"/>
        <v>-8.5741109888888889E-2</v>
      </c>
      <c r="X46">
        <f t="shared" si="13"/>
        <v>-8.4832223111111105E-2</v>
      </c>
      <c r="Y46" s="11">
        <f t="shared" si="11"/>
        <v>-8.0802223000000006E-2</v>
      </c>
    </row>
    <row r="47" spans="1:30" ht="15" thickBot="1" x14ac:dyDescent="0.35">
      <c r="A47" s="56">
        <v>45632</v>
      </c>
      <c r="B47">
        <v>0.69932001799999999</v>
      </c>
      <c r="C47">
        <v>-8.6889996999999997E-2</v>
      </c>
      <c r="D47">
        <v>0.69932001799999999</v>
      </c>
      <c r="E47">
        <v>-8.5079998000000004E-2</v>
      </c>
      <c r="F47">
        <v>0.69932001799999999</v>
      </c>
      <c r="G47">
        <v>-8.4380000999999996E-2</v>
      </c>
      <c r="H47">
        <v>0.69932001799999999</v>
      </c>
      <c r="I47">
        <v>-8.5680000000000006E-2</v>
      </c>
      <c r="J47">
        <v>0.69932001799999999</v>
      </c>
      <c r="K47">
        <v>-8.4859997000000006E-2</v>
      </c>
      <c r="L47">
        <v>0.69932001799999999</v>
      </c>
      <c r="M47" s="11">
        <v>-8.0829999999999999E-2</v>
      </c>
      <c r="O47">
        <f t="shared" si="12"/>
        <v>0.69932001799999999</v>
      </c>
      <c r="P47" s="10">
        <f t="shared" si="4"/>
        <v>-8.5079998000000004E-2</v>
      </c>
      <c r="Q47">
        <f t="shared" si="5"/>
        <v>-8.4513333999999996E-2</v>
      </c>
      <c r="R47">
        <f t="shared" si="6"/>
        <v>-8.5666666000000002E-2</v>
      </c>
      <c r="S47">
        <f t="shared" si="7"/>
        <v>-8.4836664333333325E-2</v>
      </c>
      <c r="T47" s="11">
        <f t="shared" si="8"/>
        <v>-8.0806667666666665E-2</v>
      </c>
      <c r="U47" s="10">
        <f t="shared" si="13"/>
        <v>-8.5079998000000004E-2</v>
      </c>
      <c r="V47">
        <f t="shared" si="13"/>
        <v>-8.4468888666666672E-2</v>
      </c>
      <c r="W47">
        <f t="shared" si="13"/>
        <v>-8.5725554666666662E-2</v>
      </c>
      <c r="X47">
        <f t="shared" si="13"/>
        <v>-8.4867777222222218E-2</v>
      </c>
      <c r="Y47" s="11">
        <f t="shared" si="11"/>
        <v>-8.0837778888888892E-2</v>
      </c>
      <c r="AB47" s="50" t="s">
        <v>73</v>
      </c>
      <c r="AC47" s="50" t="s">
        <v>23</v>
      </c>
    </row>
    <row r="48" spans="1:30" ht="15" thickBot="1" x14ac:dyDescent="0.35">
      <c r="A48" s="56">
        <v>45632</v>
      </c>
      <c r="B48">
        <v>0.64937001500000002</v>
      </c>
      <c r="C48">
        <v>-8.6790003000000004E-2</v>
      </c>
      <c r="D48">
        <v>0.64937001500000002</v>
      </c>
      <c r="E48">
        <v>-8.5079998000000004E-2</v>
      </c>
      <c r="F48">
        <v>0.64937001500000002</v>
      </c>
      <c r="G48">
        <v>-8.4330000000000002E-2</v>
      </c>
      <c r="H48">
        <v>0.64937001500000002</v>
      </c>
      <c r="I48">
        <v>-8.5780001999999994E-2</v>
      </c>
      <c r="J48">
        <v>0.64937001500000002</v>
      </c>
      <c r="K48">
        <v>-8.4969997000000005E-2</v>
      </c>
      <c r="L48">
        <v>0.64937001500000002</v>
      </c>
      <c r="M48" s="11">
        <v>-8.0940000999999998E-2</v>
      </c>
      <c r="O48">
        <f t="shared" si="12"/>
        <v>0.64937001500000002</v>
      </c>
      <c r="P48" s="10">
        <f t="shared" si="4"/>
        <v>-8.5079998000000004E-2</v>
      </c>
      <c r="Q48">
        <f t="shared" si="5"/>
        <v>-8.4396668000000008E-2</v>
      </c>
      <c r="R48">
        <f t="shared" si="6"/>
        <v>-8.5643333333333335E-2</v>
      </c>
      <c r="S48">
        <f t="shared" si="7"/>
        <v>-8.4823330000000016E-2</v>
      </c>
      <c r="T48" s="11">
        <f t="shared" si="8"/>
        <v>-8.0793333666666675E-2</v>
      </c>
      <c r="U48" s="10">
        <f t="shared" si="13"/>
        <v>-8.5079998000000004E-2</v>
      </c>
      <c r="V48">
        <f t="shared" si="13"/>
        <v>-8.4463334000000001E-2</v>
      </c>
      <c r="W48">
        <f t="shared" si="13"/>
        <v>-8.5673332666666671E-2</v>
      </c>
      <c r="X48">
        <f t="shared" si="13"/>
        <v>-8.4839998000000014E-2</v>
      </c>
      <c r="Y48" s="11">
        <f t="shared" si="11"/>
        <v>-8.0810000666666673E-2</v>
      </c>
      <c r="AB48" s="28">
        <v>1</v>
      </c>
      <c r="AC48" s="27">
        <v>3.0625000000000001E-3</v>
      </c>
      <c r="AD48" t="s">
        <v>24</v>
      </c>
    </row>
    <row r="49" spans="1:30" ht="15" thickBot="1" x14ac:dyDescent="0.35">
      <c r="A49" s="56">
        <v>45632</v>
      </c>
      <c r="B49">
        <v>0.59940999699999997</v>
      </c>
      <c r="C49">
        <v>-8.6740001999999997E-2</v>
      </c>
      <c r="D49">
        <v>0.59940999699999997</v>
      </c>
      <c r="E49">
        <v>-8.5079998000000004E-2</v>
      </c>
      <c r="F49">
        <v>0.59940999699999997</v>
      </c>
      <c r="G49">
        <v>-8.4299996000000002E-2</v>
      </c>
      <c r="H49">
        <v>0.59940999699999997</v>
      </c>
      <c r="I49">
        <v>-8.5840001999999999E-2</v>
      </c>
      <c r="J49">
        <v>0.59940999699999997</v>
      </c>
      <c r="K49">
        <v>-8.5029996999999996E-2</v>
      </c>
      <c r="L49">
        <v>0.59940999699999997</v>
      </c>
      <c r="M49" s="11">
        <v>-8.1000000000000003E-2</v>
      </c>
      <c r="O49">
        <f t="shared" si="12"/>
        <v>0.59940999699999997</v>
      </c>
      <c r="P49" s="10">
        <f t="shared" si="4"/>
        <v>-8.5079998000000004E-2</v>
      </c>
      <c r="Q49">
        <f t="shared" si="5"/>
        <v>-8.4336665666666658E-2</v>
      </c>
      <c r="R49">
        <f t="shared" si="6"/>
        <v>-8.576666799999999E-2</v>
      </c>
      <c r="S49">
        <f t="shared" si="7"/>
        <v>-8.4953330333333341E-2</v>
      </c>
      <c r="T49" s="11">
        <f t="shared" si="8"/>
        <v>-8.0923333666666666E-2</v>
      </c>
      <c r="U49" s="10">
        <f t="shared" si="13"/>
        <v>-8.5079998000000004E-2</v>
      </c>
      <c r="V49">
        <f t="shared" si="13"/>
        <v>-8.4415555888888882E-2</v>
      </c>
      <c r="W49">
        <f t="shared" si="13"/>
        <v>-8.5692222444444452E-2</v>
      </c>
      <c r="X49">
        <f t="shared" si="13"/>
        <v>-8.4871108222222227E-2</v>
      </c>
      <c r="Y49" s="11">
        <f t="shared" si="11"/>
        <v>-8.0841111666666673E-2</v>
      </c>
      <c r="AB49" s="28">
        <v>1</v>
      </c>
      <c r="AC49" s="27">
        <v>2.0259989415189204E-5</v>
      </c>
      <c r="AD49" t="s">
        <v>25</v>
      </c>
    </row>
    <row r="50" spans="1:30" ht="15" thickBot="1" x14ac:dyDescent="0.35">
      <c r="A50" s="56">
        <v>45632</v>
      </c>
      <c r="B50">
        <v>0.54945999400000001</v>
      </c>
      <c r="C50">
        <v>-8.6719996999999993E-2</v>
      </c>
      <c r="D50">
        <v>0.54945999400000001</v>
      </c>
      <c r="E50">
        <v>-8.5079998000000004E-2</v>
      </c>
      <c r="F50">
        <v>0.54945999400000001</v>
      </c>
      <c r="G50">
        <v>-8.4289998000000005E-2</v>
      </c>
      <c r="H50">
        <v>0.54945999400000001</v>
      </c>
      <c r="I50">
        <v>-8.5859999000000006E-2</v>
      </c>
      <c r="J50">
        <v>0.54945999400000001</v>
      </c>
      <c r="K50">
        <v>-8.5059999999999997E-2</v>
      </c>
      <c r="L50">
        <v>0.54945999400000001</v>
      </c>
      <c r="M50" s="11">
        <v>-8.1029996000000007E-2</v>
      </c>
      <c r="O50">
        <f t="shared" si="12"/>
        <v>0.54945999400000001</v>
      </c>
      <c r="P50" s="10">
        <f t="shared" si="4"/>
        <v>-8.5079998000000004E-2</v>
      </c>
      <c r="Q50">
        <f t="shared" si="5"/>
        <v>-8.4306664666666656E-2</v>
      </c>
      <c r="R50">
        <f t="shared" si="6"/>
        <v>-8.5826667666666676E-2</v>
      </c>
      <c r="S50">
        <f t="shared" si="7"/>
        <v>-8.5019997999999999E-2</v>
      </c>
      <c r="T50" s="11">
        <f t="shared" si="8"/>
        <v>-8.0989998999999993E-2</v>
      </c>
      <c r="U50" s="10">
        <f t="shared" si="13"/>
        <v>-8.5079998000000004E-2</v>
      </c>
      <c r="V50">
        <f t="shared" si="13"/>
        <v>-8.4346666111111093E-2</v>
      </c>
      <c r="W50">
        <f t="shared" si="13"/>
        <v>-8.5745556333333348E-2</v>
      </c>
      <c r="X50">
        <f t="shared" si="13"/>
        <v>-8.4932219444444457E-2</v>
      </c>
      <c r="Y50" s="11">
        <f t="shared" si="11"/>
        <v>-8.0902222111111102E-2</v>
      </c>
      <c r="AB50" s="28">
        <v>1</v>
      </c>
      <c r="AC50" s="29">
        <v>20.259989415189203</v>
      </c>
      <c r="AD50" t="s">
        <v>26</v>
      </c>
    </row>
    <row r="51" spans="1:30" ht="15" thickBot="1" x14ac:dyDescent="0.35">
      <c r="A51" s="56">
        <v>45632</v>
      </c>
      <c r="B51">
        <v>0.49950999000000001</v>
      </c>
      <c r="C51">
        <v>-8.6709998999999996E-2</v>
      </c>
      <c r="D51">
        <v>0.49950999000000001</v>
      </c>
      <c r="E51">
        <v>-8.5079998000000004E-2</v>
      </c>
      <c r="F51">
        <v>0.49950999000000001</v>
      </c>
      <c r="G51">
        <v>-8.4279998999999994E-2</v>
      </c>
      <c r="H51">
        <v>0.49950999000000001</v>
      </c>
      <c r="I51">
        <v>-8.5469998000000005E-2</v>
      </c>
      <c r="J51">
        <v>0.49950999000000001</v>
      </c>
      <c r="K51">
        <v>-8.5069998999999993E-2</v>
      </c>
      <c r="L51">
        <v>0.49950999000000001</v>
      </c>
      <c r="M51" s="11">
        <v>-8.1040002E-2</v>
      </c>
      <c r="O51">
        <f t="shared" si="12"/>
        <v>0.49950999000000001</v>
      </c>
      <c r="P51" s="10">
        <f t="shared" si="4"/>
        <v>-8.5079998000000004E-2</v>
      </c>
      <c r="Q51">
        <f t="shared" si="5"/>
        <v>-8.4289997666666672E-2</v>
      </c>
      <c r="R51">
        <f t="shared" si="6"/>
        <v>-8.5723332999999999E-2</v>
      </c>
      <c r="S51">
        <f t="shared" si="7"/>
        <v>-8.5053331999999995E-2</v>
      </c>
      <c r="T51" s="11">
        <f t="shared" si="8"/>
        <v>-8.102333266666667E-2</v>
      </c>
      <c r="U51" s="10">
        <f t="shared" si="13"/>
        <v>-8.5079998000000004E-2</v>
      </c>
      <c r="V51">
        <f t="shared" si="13"/>
        <v>-8.4311109333333342E-2</v>
      </c>
      <c r="W51">
        <f t="shared" si="13"/>
        <v>-8.5772222888888902E-2</v>
      </c>
      <c r="X51">
        <f t="shared" si="13"/>
        <v>-8.5008886777777778E-2</v>
      </c>
      <c r="Y51" s="11">
        <f t="shared" si="11"/>
        <v>-8.0978888444444438E-2</v>
      </c>
      <c r="AB51" s="28">
        <v>0.15</v>
      </c>
      <c r="AC51" s="30">
        <v>3.0389984122783802</v>
      </c>
      <c r="AD51" t="s">
        <v>26</v>
      </c>
    </row>
    <row r="52" spans="1:30" ht="15" thickBot="1" x14ac:dyDescent="0.35">
      <c r="A52" s="56">
        <v>45632</v>
      </c>
      <c r="B52">
        <v>0.44955998699999999</v>
      </c>
      <c r="C52">
        <v>-8.6699999999999999E-2</v>
      </c>
      <c r="D52">
        <v>0.44955998699999999</v>
      </c>
      <c r="E52">
        <v>-8.5079998000000004E-2</v>
      </c>
      <c r="F52">
        <v>0.44955998699999999</v>
      </c>
      <c r="G52">
        <v>-8.4279998999999994E-2</v>
      </c>
      <c r="H52">
        <v>0.44955998699999999</v>
      </c>
      <c r="I52">
        <v>-8.5680000000000006E-2</v>
      </c>
      <c r="J52">
        <v>0.44955998699999999</v>
      </c>
      <c r="K52">
        <v>-8.5079998000000004E-2</v>
      </c>
      <c r="L52">
        <v>0.44955998699999999</v>
      </c>
      <c r="M52" s="11">
        <v>-8.1050000999999997E-2</v>
      </c>
      <c r="O52">
        <f t="shared" si="12"/>
        <v>0.44955998699999999</v>
      </c>
      <c r="P52" s="10">
        <f t="shared" si="4"/>
        <v>-8.5079998000000004E-2</v>
      </c>
      <c r="Q52">
        <f t="shared" si="5"/>
        <v>-8.4283332000000002E-2</v>
      </c>
      <c r="R52">
        <f t="shared" si="6"/>
        <v>-8.5669999000000011E-2</v>
      </c>
      <c r="S52">
        <f t="shared" si="7"/>
        <v>-8.5069998999999993E-2</v>
      </c>
      <c r="T52" s="11">
        <f t="shared" si="8"/>
        <v>-8.1039999666666654E-2</v>
      </c>
      <c r="U52" s="10">
        <f t="shared" si="13"/>
        <v>-8.5079998000000004E-2</v>
      </c>
      <c r="V52">
        <f t="shared" si="13"/>
        <v>-8.4293331444444439E-2</v>
      </c>
      <c r="W52">
        <f t="shared" si="13"/>
        <v>-8.5739999888888904E-2</v>
      </c>
      <c r="X52">
        <f t="shared" si="13"/>
        <v>-8.5047776333333325E-2</v>
      </c>
      <c r="Y52" s="11">
        <f t="shared" si="11"/>
        <v>-8.1017777111111092E-2</v>
      </c>
      <c r="AB52" s="52"/>
      <c r="AC52" s="52"/>
    </row>
    <row r="53" spans="1:30" ht="15" thickBot="1" x14ac:dyDescent="0.35">
      <c r="A53" s="56">
        <v>45632</v>
      </c>
      <c r="B53">
        <v>0.39961001299999999</v>
      </c>
      <c r="C53">
        <v>-8.6699999999999999E-2</v>
      </c>
      <c r="D53">
        <v>0.39961001299999999</v>
      </c>
      <c r="E53">
        <v>-8.5079998000000004E-2</v>
      </c>
      <c r="F53">
        <v>0.39961001299999999</v>
      </c>
      <c r="G53">
        <v>-8.4279998999999994E-2</v>
      </c>
      <c r="H53">
        <v>0.39961001299999999</v>
      </c>
      <c r="I53">
        <v>-8.5780001999999994E-2</v>
      </c>
      <c r="J53">
        <v>0.39961001299999999</v>
      </c>
      <c r="K53">
        <v>-8.5079998000000004E-2</v>
      </c>
      <c r="L53">
        <v>0.39961001299999999</v>
      </c>
      <c r="M53" s="11">
        <v>-8.1050000999999997E-2</v>
      </c>
      <c r="O53">
        <f t="shared" si="12"/>
        <v>0.39961001299999999</v>
      </c>
      <c r="P53" s="10">
        <f t="shared" si="4"/>
        <v>-8.5079998000000004E-2</v>
      </c>
      <c r="Q53">
        <f t="shared" si="5"/>
        <v>-8.4279998999999994E-2</v>
      </c>
      <c r="R53">
        <f t="shared" si="6"/>
        <v>-8.5643333333333335E-2</v>
      </c>
      <c r="S53">
        <f t="shared" si="7"/>
        <v>-8.5076664999999996E-2</v>
      </c>
      <c r="T53" s="11">
        <f t="shared" si="8"/>
        <v>-8.1046667999999988E-2</v>
      </c>
      <c r="U53" s="10">
        <f t="shared" si="13"/>
        <v>-8.5079998000000004E-2</v>
      </c>
      <c r="V53">
        <f t="shared" si="13"/>
        <v>-8.428444288888888E-2</v>
      </c>
      <c r="W53">
        <f t="shared" si="13"/>
        <v>-8.5678888444444448E-2</v>
      </c>
      <c r="X53">
        <f t="shared" si="13"/>
        <v>-8.5066665333333333E-2</v>
      </c>
      <c r="Y53" s="11">
        <f t="shared" si="11"/>
        <v>-8.1036666777777766E-2</v>
      </c>
      <c r="AA53" s="50" t="s">
        <v>27</v>
      </c>
      <c r="AB53" s="53">
        <f>AB43</f>
        <v>0.36082434632531318</v>
      </c>
      <c r="AC53" s="29">
        <f>AC50*AB53</f>
        <v>7.310297437293408</v>
      </c>
      <c r="AD53" t="s">
        <v>26</v>
      </c>
    </row>
    <row r="54" spans="1:30" ht="15" thickBot="1" x14ac:dyDescent="0.35">
      <c r="A54" s="56">
        <v>45632</v>
      </c>
      <c r="B54">
        <v>0.34966000899999999</v>
      </c>
      <c r="C54">
        <v>-8.6290002000000005E-2</v>
      </c>
      <c r="D54">
        <v>0.34966000899999999</v>
      </c>
      <c r="E54">
        <v>-8.5079998000000004E-2</v>
      </c>
      <c r="F54">
        <v>0.34966000899999999</v>
      </c>
      <c r="G54">
        <v>-8.4279998999999994E-2</v>
      </c>
      <c r="H54">
        <v>0.34966000899999999</v>
      </c>
      <c r="I54">
        <v>-8.5840001999999999E-2</v>
      </c>
      <c r="J54">
        <v>0.34966000899999999</v>
      </c>
      <c r="K54">
        <v>-8.5079998000000004E-2</v>
      </c>
      <c r="L54">
        <v>0.34966000899999999</v>
      </c>
      <c r="M54" s="11">
        <v>-8.1050000999999997E-2</v>
      </c>
      <c r="O54">
        <f t="shared" si="12"/>
        <v>0.34966000899999999</v>
      </c>
      <c r="P54" s="10">
        <f t="shared" si="4"/>
        <v>-8.5079998000000004E-2</v>
      </c>
      <c r="Q54">
        <f t="shared" si="5"/>
        <v>-8.4279998999999994E-2</v>
      </c>
      <c r="R54">
        <f t="shared" si="6"/>
        <v>-8.576666799999999E-2</v>
      </c>
      <c r="S54">
        <f t="shared" si="7"/>
        <v>-8.5079998000000004E-2</v>
      </c>
      <c r="T54" s="11">
        <f t="shared" si="8"/>
        <v>-8.1050000999999997E-2</v>
      </c>
      <c r="U54" s="10">
        <f t="shared" si="13"/>
        <v>-8.5079998000000004E-2</v>
      </c>
      <c r="V54">
        <f t="shared" si="13"/>
        <v>-8.4281109999999992E-2</v>
      </c>
      <c r="W54">
        <f t="shared" si="13"/>
        <v>-8.569333344444445E-2</v>
      </c>
      <c r="X54">
        <f t="shared" si="13"/>
        <v>-8.5075553999999998E-2</v>
      </c>
      <c r="Y54" s="11">
        <f t="shared" si="11"/>
        <v>-8.1045556222222204E-2</v>
      </c>
      <c r="AA54" s="50" t="s">
        <v>28</v>
      </c>
      <c r="AB54" s="53">
        <f>AB44</f>
        <v>1.0934071100767069</v>
      </c>
      <c r="AC54" s="31">
        <f>AC50*AB54</f>
        <v>22.152416476646696</v>
      </c>
      <c r="AD54" t="s">
        <v>26</v>
      </c>
    </row>
    <row r="55" spans="1:30" ht="15" thickBot="1" x14ac:dyDescent="0.35">
      <c r="A55" s="56">
        <v>45632</v>
      </c>
      <c r="B55">
        <v>0.29971000599999997</v>
      </c>
      <c r="C55">
        <v>-8.6489997999999998E-2</v>
      </c>
      <c r="D55">
        <v>0.29971000599999997</v>
      </c>
      <c r="E55">
        <v>-8.5079998000000004E-2</v>
      </c>
      <c r="F55">
        <v>0.29971000599999997</v>
      </c>
      <c r="G55">
        <v>-8.4279998999999994E-2</v>
      </c>
      <c r="H55">
        <v>0.29971000599999997</v>
      </c>
      <c r="I55">
        <v>-8.5859999000000006E-2</v>
      </c>
      <c r="J55">
        <v>0.29971000599999997</v>
      </c>
      <c r="K55">
        <v>-8.5079998000000004E-2</v>
      </c>
      <c r="L55">
        <v>0.29971000599999997</v>
      </c>
      <c r="M55" s="11">
        <v>-8.1050000999999997E-2</v>
      </c>
      <c r="O55">
        <f t="shared" si="12"/>
        <v>0.29971000599999997</v>
      </c>
      <c r="P55" s="10">
        <f t="shared" si="4"/>
        <v>-8.5079998000000004E-2</v>
      </c>
      <c r="Q55">
        <f t="shared" si="5"/>
        <v>-8.4279998999999994E-2</v>
      </c>
      <c r="R55">
        <f t="shared" si="6"/>
        <v>-8.5826667666666676E-2</v>
      </c>
      <c r="S55">
        <f t="shared" si="7"/>
        <v>-8.5079998000000004E-2</v>
      </c>
      <c r="T55" s="11">
        <f t="shared" si="8"/>
        <v>-8.1050000999999997E-2</v>
      </c>
      <c r="U55" s="10">
        <f t="shared" si="13"/>
        <v>-8.5079998000000004E-2</v>
      </c>
      <c r="V55">
        <f t="shared" si="13"/>
        <v>-8.4279998999999994E-2</v>
      </c>
      <c r="W55">
        <f t="shared" si="13"/>
        <v>-8.5745556333333348E-2</v>
      </c>
      <c r="X55">
        <f t="shared" si="13"/>
        <v>-8.5078886999999992E-2</v>
      </c>
      <c r="Y55" s="11">
        <f t="shared" si="11"/>
        <v>-8.1048889999999985E-2</v>
      </c>
    </row>
    <row r="56" spans="1:30" ht="15" thickBot="1" x14ac:dyDescent="0.35">
      <c r="A56" s="56">
        <v>45632</v>
      </c>
      <c r="B56">
        <v>0.24976000200000001</v>
      </c>
      <c r="C56">
        <v>-8.6589999000000001E-2</v>
      </c>
      <c r="D56">
        <v>0.24976000200000001</v>
      </c>
      <c r="E56">
        <v>-8.5079998000000004E-2</v>
      </c>
      <c r="F56">
        <v>0.24976000200000001</v>
      </c>
      <c r="G56">
        <v>-8.4279998999999994E-2</v>
      </c>
      <c r="H56">
        <v>0.24976000200000001</v>
      </c>
      <c r="I56">
        <v>-8.5879996E-2</v>
      </c>
      <c r="J56">
        <v>0.24976000200000001</v>
      </c>
      <c r="K56">
        <v>-8.5079998000000004E-2</v>
      </c>
      <c r="L56">
        <v>0.24976000200000001</v>
      </c>
      <c r="M56" s="11">
        <v>-8.1050000999999997E-2</v>
      </c>
      <c r="O56">
        <f t="shared" si="12"/>
        <v>0.24976000200000001</v>
      </c>
      <c r="P56" s="10">
        <f t="shared" si="4"/>
        <v>-8.5079998000000004E-2</v>
      </c>
      <c r="Q56">
        <f t="shared" si="5"/>
        <v>-8.4279998999999994E-2</v>
      </c>
      <c r="R56">
        <f t="shared" si="6"/>
        <v>-8.5859999000000006E-2</v>
      </c>
      <c r="S56">
        <f t="shared" si="7"/>
        <v>-8.5079998000000004E-2</v>
      </c>
      <c r="T56" s="11">
        <f t="shared" si="8"/>
        <v>-8.1050000999999997E-2</v>
      </c>
      <c r="U56" s="10">
        <f t="shared" si="13"/>
        <v>-8.5079998000000004E-2</v>
      </c>
      <c r="V56">
        <f t="shared" si="13"/>
        <v>-8.4279998999999994E-2</v>
      </c>
      <c r="W56">
        <f t="shared" si="13"/>
        <v>-8.5817778222222238E-2</v>
      </c>
      <c r="X56">
        <f t="shared" si="13"/>
        <v>-8.5079998000000004E-2</v>
      </c>
      <c r="Y56" s="11">
        <f t="shared" si="11"/>
        <v>-8.1050000999999997E-2</v>
      </c>
    </row>
    <row r="57" spans="1:30" ht="15" thickBot="1" x14ac:dyDescent="0.35">
      <c r="A57" s="56">
        <v>45632</v>
      </c>
      <c r="B57">
        <v>0.19980000000000001</v>
      </c>
      <c r="C57">
        <v>-8.6639999999999995E-2</v>
      </c>
      <c r="D57">
        <v>0.19980000000000001</v>
      </c>
      <c r="E57">
        <v>-8.5079998000000004E-2</v>
      </c>
      <c r="F57">
        <v>0.19980000000000001</v>
      </c>
      <c r="G57">
        <v>-8.4279998999999994E-2</v>
      </c>
      <c r="H57">
        <v>0.19980000000000001</v>
      </c>
      <c r="I57">
        <v>-8.5879996E-2</v>
      </c>
      <c r="J57">
        <v>0.19980000000000001</v>
      </c>
      <c r="K57">
        <v>-8.5079998000000004E-2</v>
      </c>
      <c r="L57">
        <v>0.19980000000000001</v>
      </c>
      <c r="M57" s="11">
        <v>-8.1050000999999997E-2</v>
      </c>
      <c r="O57">
        <f t="shared" si="12"/>
        <v>0.19980000000000001</v>
      </c>
      <c r="P57" s="10">
        <f t="shared" si="4"/>
        <v>-8.5079998000000004E-2</v>
      </c>
      <c r="Q57">
        <f t="shared" si="5"/>
        <v>-8.4279998999999994E-2</v>
      </c>
      <c r="R57">
        <f t="shared" si="6"/>
        <v>-8.5873330333333331E-2</v>
      </c>
      <c r="S57">
        <f t="shared" si="7"/>
        <v>-8.5079998000000004E-2</v>
      </c>
      <c r="T57" s="11">
        <f t="shared" si="8"/>
        <v>-8.1050000999999997E-2</v>
      </c>
      <c r="U57" s="10">
        <f t="shared" si="13"/>
        <v>-8.5079998000000004E-2</v>
      </c>
      <c r="V57">
        <f t="shared" si="13"/>
        <v>-8.4279998999999994E-2</v>
      </c>
      <c r="W57">
        <f t="shared" si="13"/>
        <v>-8.5853332333333324E-2</v>
      </c>
      <c r="X57">
        <f t="shared" si="13"/>
        <v>-8.5079998000000004E-2</v>
      </c>
      <c r="Y57" s="11">
        <f t="shared" si="11"/>
        <v>-8.1050000999999997E-2</v>
      </c>
    </row>
    <row r="58" spans="1:30" ht="15" thickBot="1" x14ac:dyDescent="0.35">
      <c r="A58" s="56">
        <v>45632</v>
      </c>
      <c r="B58">
        <v>0.14984999600000001</v>
      </c>
      <c r="C58">
        <v>-8.6669995999999999E-2</v>
      </c>
      <c r="D58">
        <v>0.14984999600000001</v>
      </c>
      <c r="E58">
        <v>-8.5079998000000004E-2</v>
      </c>
      <c r="F58">
        <v>0.14984999600000001</v>
      </c>
      <c r="G58">
        <v>-8.4279998999999994E-2</v>
      </c>
      <c r="H58">
        <v>0.14984999600000001</v>
      </c>
      <c r="I58">
        <v>-8.5890003000000006E-2</v>
      </c>
      <c r="J58">
        <v>0.14984999600000001</v>
      </c>
      <c r="K58">
        <v>-8.5079998000000004E-2</v>
      </c>
      <c r="L58">
        <v>0.14984999600000001</v>
      </c>
      <c r="M58" s="11">
        <v>-8.1050000999999997E-2</v>
      </c>
      <c r="O58">
        <f t="shared" si="12"/>
        <v>0.14984999600000001</v>
      </c>
      <c r="P58" s="10">
        <f t="shared" si="4"/>
        <v>-8.5079998000000004E-2</v>
      </c>
      <c r="Q58">
        <f t="shared" si="5"/>
        <v>-8.4279998999999994E-2</v>
      </c>
      <c r="R58">
        <f t="shared" si="6"/>
        <v>-8.5883331666666674E-2</v>
      </c>
      <c r="S58">
        <f t="shared" si="7"/>
        <v>-8.5079998000000004E-2</v>
      </c>
      <c r="T58" s="11">
        <f t="shared" si="8"/>
        <v>-8.1050000999999997E-2</v>
      </c>
      <c r="U58" s="10">
        <f t="shared" si="13"/>
        <v>-8.5079998000000004E-2</v>
      </c>
      <c r="V58">
        <f t="shared" si="13"/>
        <v>-8.4279998999999994E-2</v>
      </c>
      <c r="W58">
        <f t="shared" si="13"/>
        <v>-8.5872220333333346E-2</v>
      </c>
      <c r="X58">
        <f t="shared" si="13"/>
        <v>-8.5079998000000004E-2</v>
      </c>
      <c r="Y58" s="11">
        <f t="shared" si="11"/>
        <v>-8.1050000999999997E-2</v>
      </c>
    </row>
    <row r="59" spans="1:30" ht="15" thickBot="1" x14ac:dyDescent="0.35">
      <c r="A59" s="56">
        <v>45632</v>
      </c>
      <c r="B59">
        <v>9.9900000000000003E-2</v>
      </c>
      <c r="C59">
        <v>-8.6280002999999994E-2</v>
      </c>
      <c r="D59">
        <v>9.9900000000000003E-2</v>
      </c>
      <c r="E59">
        <v>-8.5079998000000004E-2</v>
      </c>
      <c r="F59">
        <v>9.9900000000000003E-2</v>
      </c>
      <c r="G59">
        <v>-8.4279998999999994E-2</v>
      </c>
      <c r="H59">
        <v>9.9900000000000003E-2</v>
      </c>
      <c r="I59">
        <v>-8.5890003000000006E-2</v>
      </c>
      <c r="J59">
        <v>9.9900000000000003E-2</v>
      </c>
      <c r="K59">
        <v>-8.5079998000000004E-2</v>
      </c>
      <c r="L59">
        <v>9.9900000000000003E-2</v>
      </c>
      <c r="M59" s="11">
        <v>-8.1050000999999997E-2</v>
      </c>
      <c r="O59">
        <f t="shared" si="12"/>
        <v>9.9900000000000003E-2</v>
      </c>
      <c r="P59" s="10">
        <f t="shared" si="4"/>
        <v>-8.5079998000000004E-2</v>
      </c>
      <c r="Q59">
        <f t="shared" si="5"/>
        <v>-8.4279998999999994E-2</v>
      </c>
      <c r="R59">
        <f t="shared" si="6"/>
        <v>-8.5886667333333333E-2</v>
      </c>
      <c r="S59">
        <f t="shared" si="7"/>
        <v>-8.5079998000000004E-2</v>
      </c>
      <c r="T59" s="11">
        <f t="shared" si="8"/>
        <v>-8.1050000999999997E-2</v>
      </c>
      <c r="U59" s="10">
        <f t="shared" si="13"/>
        <v>-8.5079998000000004E-2</v>
      </c>
      <c r="V59">
        <f t="shared" si="13"/>
        <v>-8.4279998999999994E-2</v>
      </c>
      <c r="W59">
        <f t="shared" si="13"/>
        <v>-8.5881109777777784E-2</v>
      </c>
      <c r="X59">
        <f t="shared" si="13"/>
        <v>-8.5079998000000004E-2</v>
      </c>
      <c r="Y59" s="11">
        <f t="shared" si="11"/>
        <v>-8.1050000999999997E-2</v>
      </c>
    </row>
    <row r="60" spans="1:30" ht="15" thickBot="1" x14ac:dyDescent="0.35">
      <c r="A60" s="56">
        <v>45632</v>
      </c>
      <c r="B60" s="26">
        <v>4.9950000000000001E-2</v>
      </c>
      <c r="C60" s="26">
        <v>-8.6489997999999998E-2</v>
      </c>
      <c r="D60" s="26">
        <v>4.9950000000000001E-2</v>
      </c>
      <c r="E60" s="26">
        <v>-8.5079998000000004E-2</v>
      </c>
      <c r="F60" s="26">
        <v>4.9950000000000001E-2</v>
      </c>
      <c r="G60" s="26">
        <v>-8.4279998999999994E-2</v>
      </c>
      <c r="H60" s="26">
        <v>4.9950000000000001E-2</v>
      </c>
      <c r="I60" s="26">
        <v>-8.5890003000000006E-2</v>
      </c>
      <c r="J60" s="26">
        <v>4.9950000000000001E-2</v>
      </c>
      <c r="K60" s="26">
        <v>-8.5079998000000004E-2</v>
      </c>
      <c r="L60" s="26">
        <v>4.9950000000000001E-2</v>
      </c>
      <c r="M60" s="33">
        <v>-8.1050000999999997E-2</v>
      </c>
      <c r="N60" s="26"/>
      <c r="O60">
        <f t="shared" si="12"/>
        <v>4.9950000000000001E-2</v>
      </c>
      <c r="P60" s="10">
        <f t="shared" si="4"/>
        <v>-8.5079998000000004E-2</v>
      </c>
      <c r="Q60">
        <f t="shared" si="5"/>
        <v>-8.4279998999999994E-2</v>
      </c>
      <c r="R60">
        <f t="shared" si="6"/>
        <v>-8.5890003000000006E-2</v>
      </c>
      <c r="S60">
        <f t="shared" si="7"/>
        <v>-8.5079998000000004E-2</v>
      </c>
      <c r="T60" s="11">
        <f t="shared" si="8"/>
        <v>-8.1050000999999997E-2</v>
      </c>
      <c r="U60" s="10">
        <f t="shared" si="13"/>
        <v>-8.5079998000000004E-2</v>
      </c>
      <c r="V60">
        <f t="shared" si="13"/>
        <v>-8.4279998999999994E-2</v>
      </c>
      <c r="W60">
        <f t="shared" si="13"/>
        <v>-8.5886667333333333E-2</v>
      </c>
      <c r="X60">
        <f t="shared" si="13"/>
        <v>-8.5079998000000004E-2</v>
      </c>
      <c r="Y60" s="11">
        <f t="shared" ref="Y60:Y91" si="14">AVERAGE(T58:T60)</f>
        <v>-8.1050000999999997E-2</v>
      </c>
    </row>
    <row r="61" spans="1:30" ht="15" thickBot="1" x14ac:dyDescent="0.35">
      <c r="A61" s="56">
        <v>45632</v>
      </c>
      <c r="B61" s="25">
        <v>0</v>
      </c>
      <c r="C61">
        <v>-8.6589999000000001E-2</v>
      </c>
      <c r="D61" s="24">
        <v>0</v>
      </c>
      <c r="E61">
        <v>-8.6290002000000005E-2</v>
      </c>
      <c r="F61">
        <v>0</v>
      </c>
      <c r="G61">
        <v>-8.6690001000000003E-2</v>
      </c>
      <c r="H61">
        <v>0</v>
      </c>
      <c r="I61">
        <v>-8.5890003000000006E-2</v>
      </c>
      <c r="J61">
        <v>0</v>
      </c>
      <c r="K61">
        <v>-8.5079998000000004E-2</v>
      </c>
      <c r="L61">
        <v>0</v>
      </c>
      <c r="M61" s="11">
        <v>-8.5490002999999995E-2</v>
      </c>
      <c r="O61">
        <f t="shared" si="12"/>
        <v>0</v>
      </c>
      <c r="P61" s="10">
        <f t="shared" si="4"/>
        <v>-8.5483332666666675E-2</v>
      </c>
      <c r="Q61">
        <f t="shared" si="5"/>
        <v>-8.5083332999999997E-2</v>
      </c>
      <c r="R61">
        <f t="shared" si="6"/>
        <v>-8.5890003000000006E-2</v>
      </c>
      <c r="S61">
        <f t="shared" si="7"/>
        <v>-8.5079998000000004E-2</v>
      </c>
      <c r="T61" s="11">
        <f t="shared" si="8"/>
        <v>-8.2530001666666672E-2</v>
      </c>
      <c r="U61" s="10">
        <f t="shared" si="13"/>
        <v>-8.5214442888888894E-2</v>
      </c>
      <c r="V61">
        <f t="shared" si="13"/>
        <v>-8.4547776999999991E-2</v>
      </c>
      <c r="W61">
        <f t="shared" si="13"/>
        <v>-8.5888891111111101E-2</v>
      </c>
      <c r="X61">
        <f t="shared" si="13"/>
        <v>-8.5079998000000004E-2</v>
      </c>
      <c r="Y61" s="11">
        <f t="shared" si="14"/>
        <v>-8.1543334555555555E-2</v>
      </c>
    </row>
    <row r="62" spans="1:30" ht="15" thickBot="1" x14ac:dyDescent="0.35">
      <c r="A62" s="56">
        <v>45632</v>
      </c>
      <c r="B62">
        <v>-4.9950000000000001E-2</v>
      </c>
      <c r="C62">
        <v>-8.7849996999999999E-2</v>
      </c>
      <c r="D62">
        <v>-4.9950000000000001E-2</v>
      </c>
      <c r="E62">
        <v>-8.7700001999999999E-2</v>
      </c>
      <c r="F62">
        <v>-4.9950000000000001E-2</v>
      </c>
      <c r="G62">
        <v>-8.9110001999999994E-2</v>
      </c>
      <c r="H62">
        <v>-4.9950000000000001E-2</v>
      </c>
      <c r="I62">
        <v>-8.5890003000000006E-2</v>
      </c>
      <c r="J62">
        <v>-4.9950000000000001E-2</v>
      </c>
      <c r="K62">
        <v>-8.6290002000000005E-2</v>
      </c>
      <c r="L62">
        <v>-4.9950000000000001E-2</v>
      </c>
      <c r="M62" s="11">
        <v>-9.0120003000000004E-2</v>
      </c>
      <c r="O62">
        <f t="shared" si="12"/>
        <v>-4.9950000000000001E-2</v>
      </c>
      <c r="P62" s="10">
        <f t="shared" si="4"/>
        <v>-8.6356667333333345E-2</v>
      </c>
      <c r="Q62">
        <f t="shared" si="5"/>
        <v>-8.6693334000000011E-2</v>
      </c>
      <c r="R62">
        <f t="shared" si="6"/>
        <v>-8.5890003000000006E-2</v>
      </c>
      <c r="S62">
        <f t="shared" si="7"/>
        <v>-8.5483332666666675E-2</v>
      </c>
      <c r="T62" s="11">
        <f t="shared" si="8"/>
        <v>-8.5553335666666674E-2</v>
      </c>
      <c r="U62" s="10">
        <f t="shared" si="13"/>
        <v>-8.5639999333333341E-2</v>
      </c>
      <c r="V62">
        <f t="shared" si="13"/>
        <v>-8.5352221999999991E-2</v>
      </c>
      <c r="W62">
        <f t="shared" si="13"/>
        <v>-8.5890003000000006E-2</v>
      </c>
      <c r="X62">
        <f t="shared" si="13"/>
        <v>-8.5214442888888894E-2</v>
      </c>
      <c r="Y62" s="11">
        <f t="shared" si="14"/>
        <v>-8.3044446111111114E-2</v>
      </c>
    </row>
    <row r="63" spans="1:30" ht="15" thickBot="1" x14ac:dyDescent="0.35">
      <c r="A63" s="56">
        <v>45632</v>
      </c>
      <c r="B63">
        <v>-9.9900000000000003E-2</v>
      </c>
      <c r="C63">
        <v>-8.8480003000000002E-2</v>
      </c>
      <c r="D63">
        <v>-9.9900000000000003E-2</v>
      </c>
      <c r="E63">
        <v>-8.8809997000000002E-2</v>
      </c>
      <c r="F63">
        <v>-9.9900000000000003E-2</v>
      </c>
      <c r="G63">
        <v>-9.0719997999999996E-2</v>
      </c>
      <c r="H63">
        <v>-9.9900000000000003E-2</v>
      </c>
      <c r="I63">
        <v>-8.7099998999999997E-2</v>
      </c>
      <c r="J63">
        <v>-9.9900000000000003E-2</v>
      </c>
      <c r="K63">
        <v>-8.8509999000000006E-2</v>
      </c>
      <c r="L63">
        <v>-9.9900000000000003E-2</v>
      </c>
      <c r="M63" s="11">
        <v>-9.3640000000000001E-2</v>
      </c>
      <c r="O63">
        <f t="shared" si="12"/>
        <v>-9.9900000000000003E-2</v>
      </c>
      <c r="P63" s="10">
        <f t="shared" si="4"/>
        <v>-8.760000033333333E-2</v>
      </c>
      <c r="Q63">
        <f t="shared" si="5"/>
        <v>-8.8840000333333322E-2</v>
      </c>
      <c r="R63">
        <f t="shared" si="6"/>
        <v>-8.6293335000000013E-2</v>
      </c>
      <c r="S63">
        <f t="shared" si="7"/>
        <v>-8.6626666333333338E-2</v>
      </c>
      <c r="T63" s="11">
        <f t="shared" si="8"/>
        <v>-8.9750001999999995E-2</v>
      </c>
      <c r="U63" s="10">
        <f t="shared" si="13"/>
        <v>-8.6480000111111122E-2</v>
      </c>
      <c r="V63">
        <f t="shared" si="13"/>
        <v>-8.6872222444444439E-2</v>
      </c>
      <c r="W63">
        <f t="shared" si="13"/>
        <v>-8.6024447000000004E-2</v>
      </c>
      <c r="X63">
        <f t="shared" si="13"/>
        <v>-8.5729999000000001E-2</v>
      </c>
      <c r="Y63" s="11">
        <f t="shared" si="14"/>
        <v>-8.5944446444444447E-2</v>
      </c>
    </row>
    <row r="64" spans="1:30" ht="15" thickBot="1" x14ac:dyDescent="0.35">
      <c r="A64" s="56">
        <v>45632</v>
      </c>
      <c r="B64">
        <v>-0.14984999600000001</v>
      </c>
      <c r="C64">
        <v>-8.8799998000000005E-2</v>
      </c>
      <c r="D64">
        <v>-0.14984999600000001</v>
      </c>
      <c r="E64">
        <v>-8.9769997000000004E-2</v>
      </c>
      <c r="F64">
        <v>-0.14984999600000001</v>
      </c>
      <c r="G64">
        <v>-9.1930001999999997E-2</v>
      </c>
      <c r="H64">
        <v>-0.14984999600000001</v>
      </c>
      <c r="I64">
        <v>-8.8509999000000006E-2</v>
      </c>
      <c r="J64">
        <v>-0.14984999600000001</v>
      </c>
      <c r="K64">
        <v>-9.042E-2</v>
      </c>
      <c r="L64">
        <v>-0.14984999600000001</v>
      </c>
      <c r="M64" s="11">
        <v>-9.6210003000000002E-2</v>
      </c>
      <c r="O64">
        <f t="shared" si="12"/>
        <v>-0.14984999600000001</v>
      </c>
      <c r="P64" s="10">
        <f t="shared" si="4"/>
        <v>-8.8759998666666673E-2</v>
      </c>
      <c r="Q64">
        <f t="shared" si="5"/>
        <v>-9.0586667333333329E-2</v>
      </c>
      <c r="R64">
        <f t="shared" si="6"/>
        <v>-8.7166667000000017E-2</v>
      </c>
      <c r="S64">
        <f t="shared" si="7"/>
        <v>-8.8406666999999994E-2</v>
      </c>
      <c r="T64" s="11">
        <f t="shared" si="8"/>
        <v>-9.3323335333333327E-2</v>
      </c>
      <c r="U64" s="10">
        <f t="shared" si="13"/>
        <v>-8.7572222111111112E-2</v>
      </c>
      <c r="V64">
        <f t="shared" si="13"/>
        <v>-8.8706667222222216E-2</v>
      </c>
      <c r="W64">
        <f t="shared" si="13"/>
        <v>-8.6450001666666679E-2</v>
      </c>
      <c r="X64">
        <f t="shared" si="13"/>
        <v>-8.6838888666666669E-2</v>
      </c>
      <c r="Y64" s="11">
        <f t="shared" si="14"/>
        <v>-8.9542224333333323E-2</v>
      </c>
    </row>
    <row r="65" spans="1:25" ht="15" thickBot="1" x14ac:dyDescent="0.35">
      <c r="A65" s="56">
        <v>45632</v>
      </c>
      <c r="B65">
        <v>-0.19980000000000001</v>
      </c>
      <c r="C65">
        <v>-8.9359998999999996E-2</v>
      </c>
      <c r="D65">
        <v>-0.19980000000000001</v>
      </c>
      <c r="E65">
        <v>-9.0649999999999994E-2</v>
      </c>
      <c r="F65">
        <v>-0.19980000000000001</v>
      </c>
      <c r="G65">
        <v>-9.2540002999999996E-2</v>
      </c>
      <c r="H65">
        <v>-0.19980000000000001</v>
      </c>
      <c r="I65">
        <v>-8.9610002999999994E-2</v>
      </c>
      <c r="J65">
        <v>-0.19980000000000001</v>
      </c>
      <c r="K65">
        <v>-9.1779999000000001E-2</v>
      </c>
      <c r="L65">
        <v>-0.19980000000000001</v>
      </c>
      <c r="M65" s="11">
        <v>-9.7900002999999999E-2</v>
      </c>
      <c r="O65">
        <f t="shared" si="12"/>
        <v>-0.19980000000000001</v>
      </c>
      <c r="P65" s="10">
        <f t="shared" si="4"/>
        <v>-8.9743331333333343E-2</v>
      </c>
      <c r="Q65">
        <f t="shared" si="5"/>
        <v>-9.1730000999999992E-2</v>
      </c>
      <c r="R65">
        <f t="shared" si="6"/>
        <v>-8.8406666999999994E-2</v>
      </c>
      <c r="S65">
        <f t="shared" si="7"/>
        <v>-9.0236666000000007E-2</v>
      </c>
      <c r="T65" s="11">
        <f t="shared" si="8"/>
        <v>-9.5916668666666663E-2</v>
      </c>
      <c r="U65" s="10">
        <f t="shared" si="13"/>
        <v>-8.8701110111111106E-2</v>
      </c>
      <c r="V65">
        <f t="shared" si="13"/>
        <v>-9.0385556222222219E-2</v>
      </c>
      <c r="W65">
        <f t="shared" si="13"/>
        <v>-8.7288889666666661E-2</v>
      </c>
      <c r="X65">
        <f t="shared" si="13"/>
        <v>-8.8423333111111113E-2</v>
      </c>
      <c r="Y65" s="11">
        <f t="shared" si="14"/>
        <v>-9.2996668666666657E-2</v>
      </c>
    </row>
    <row r="66" spans="1:25" ht="15" thickBot="1" x14ac:dyDescent="0.35">
      <c r="A66" s="56">
        <v>45632</v>
      </c>
      <c r="B66">
        <v>-0.24976000200000001</v>
      </c>
      <c r="C66">
        <v>-8.9639998999999998E-2</v>
      </c>
      <c r="D66">
        <v>-0.24976000200000001</v>
      </c>
      <c r="E66">
        <v>-9.1090001000000004E-2</v>
      </c>
      <c r="F66">
        <v>-0.24976000200000001</v>
      </c>
      <c r="G66">
        <v>-9.2430002999999997E-2</v>
      </c>
      <c r="H66">
        <v>-0.24976000200000001</v>
      </c>
      <c r="I66">
        <v>-9.0170002999999999E-2</v>
      </c>
      <c r="J66">
        <v>-0.24976000200000001</v>
      </c>
      <c r="K66">
        <v>-9.2459999000000001E-2</v>
      </c>
      <c r="L66">
        <v>-0.24976000200000001</v>
      </c>
      <c r="M66" s="11">
        <v>-9.8739996999999996E-2</v>
      </c>
      <c r="O66">
        <f t="shared" si="12"/>
        <v>-0.24976000200000001</v>
      </c>
      <c r="P66" s="10">
        <f t="shared" si="4"/>
        <v>-9.0503332666666658E-2</v>
      </c>
      <c r="Q66">
        <f t="shared" si="5"/>
        <v>-9.2300002666666658E-2</v>
      </c>
      <c r="R66">
        <f t="shared" si="6"/>
        <v>-8.9430001666666661E-2</v>
      </c>
      <c r="S66">
        <f t="shared" si="7"/>
        <v>-9.1553332666666667E-2</v>
      </c>
      <c r="T66" s="11">
        <f t="shared" si="8"/>
        <v>-9.7616667666666657E-2</v>
      </c>
      <c r="U66" s="10">
        <f t="shared" si="13"/>
        <v>-8.9668887555555563E-2</v>
      </c>
      <c r="V66">
        <f t="shared" si="13"/>
        <v>-9.1538890333333331E-2</v>
      </c>
      <c r="W66">
        <f t="shared" si="13"/>
        <v>-8.8334445222222224E-2</v>
      </c>
      <c r="X66">
        <f t="shared" si="13"/>
        <v>-9.0065555222222218E-2</v>
      </c>
      <c r="Y66" s="11">
        <f t="shared" si="14"/>
        <v>-9.5618890555555544E-2</v>
      </c>
    </row>
    <row r="67" spans="1:25" ht="15" thickBot="1" x14ac:dyDescent="0.35">
      <c r="A67" s="56">
        <v>45632</v>
      </c>
      <c r="B67">
        <v>-0.29971000599999997</v>
      </c>
      <c r="C67">
        <v>-8.9780002999999997E-2</v>
      </c>
      <c r="D67">
        <v>-0.29971000599999997</v>
      </c>
      <c r="E67">
        <v>-9.1310002000000001E-2</v>
      </c>
      <c r="F67">
        <v>-0.29971000599999997</v>
      </c>
      <c r="G67">
        <v>-9.2380002000000003E-2</v>
      </c>
      <c r="H67">
        <v>-0.29971000599999997</v>
      </c>
      <c r="I67">
        <v>-9.0850002999999999E-2</v>
      </c>
      <c r="J67">
        <v>-0.29971000599999997</v>
      </c>
      <c r="K67">
        <v>-9.2399998999999997E-2</v>
      </c>
      <c r="L67">
        <v>-0.29971000599999997</v>
      </c>
      <c r="M67" s="11">
        <v>-9.9160000999999998E-2</v>
      </c>
      <c r="O67">
        <f t="shared" si="12"/>
        <v>-0.29971000599999997</v>
      </c>
      <c r="P67" s="10">
        <f t="shared" si="4"/>
        <v>-9.1016667666666662E-2</v>
      </c>
      <c r="Q67">
        <f t="shared" si="5"/>
        <v>-9.2450002666666656E-2</v>
      </c>
      <c r="R67">
        <f t="shared" si="6"/>
        <v>-9.0210002999999997E-2</v>
      </c>
      <c r="S67">
        <f t="shared" si="7"/>
        <v>-9.2213332333333342E-2</v>
      </c>
      <c r="T67" s="11">
        <f t="shared" si="8"/>
        <v>-9.8600000333333326E-2</v>
      </c>
      <c r="U67" s="10">
        <f t="shared" si="13"/>
        <v>-9.0421110555555559E-2</v>
      </c>
      <c r="V67">
        <f t="shared" si="13"/>
        <v>-9.2160002111111097E-2</v>
      </c>
      <c r="W67">
        <f t="shared" si="13"/>
        <v>-8.9348890555555546E-2</v>
      </c>
      <c r="X67">
        <f t="shared" si="13"/>
        <v>-9.1334443666666668E-2</v>
      </c>
      <c r="Y67" s="11">
        <f t="shared" si="14"/>
        <v>-9.7377778888888877E-2</v>
      </c>
    </row>
    <row r="68" spans="1:25" ht="15" thickBot="1" x14ac:dyDescent="0.35">
      <c r="A68" s="56">
        <v>45632</v>
      </c>
      <c r="B68">
        <v>-0.34966000899999999</v>
      </c>
      <c r="C68">
        <v>-8.9440003000000004E-2</v>
      </c>
      <c r="D68">
        <v>-0.34966000899999999</v>
      </c>
      <c r="E68">
        <v>-9.1420002E-2</v>
      </c>
      <c r="F68">
        <v>-0.34966000899999999</v>
      </c>
      <c r="G68">
        <v>-9.2359996999999999E-2</v>
      </c>
      <c r="H68">
        <v>-0.34966000899999999</v>
      </c>
      <c r="I68">
        <v>-9.0790003999999994E-2</v>
      </c>
      <c r="J68">
        <v>-0.34966000899999999</v>
      </c>
      <c r="K68">
        <v>-9.2770003000000004E-2</v>
      </c>
      <c r="L68">
        <v>-0.34966000899999999</v>
      </c>
      <c r="M68" s="11">
        <v>-9.8970003000000001E-2</v>
      </c>
      <c r="O68">
        <f t="shared" si="12"/>
        <v>-0.34966000899999999</v>
      </c>
      <c r="P68" s="10">
        <f t="shared" si="4"/>
        <v>-9.1273335000000011E-2</v>
      </c>
      <c r="Q68">
        <f t="shared" si="5"/>
        <v>-9.2390000666666652E-2</v>
      </c>
      <c r="R68">
        <f t="shared" si="6"/>
        <v>-9.0603336666666659E-2</v>
      </c>
      <c r="S68">
        <f t="shared" si="7"/>
        <v>-9.2543333666666672E-2</v>
      </c>
      <c r="T68" s="11">
        <f t="shared" si="8"/>
        <v>-9.8956666999999998E-2</v>
      </c>
      <c r="U68" s="10">
        <f t="shared" si="13"/>
        <v>-9.0931111777777782E-2</v>
      </c>
      <c r="V68">
        <f t="shared" si="13"/>
        <v>-9.2380001999999975E-2</v>
      </c>
      <c r="W68">
        <f t="shared" si="13"/>
        <v>-9.0081113777777777E-2</v>
      </c>
      <c r="X68">
        <f t="shared" si="13"/>
        <v>-9.2103332888888889E-2</v>
      </c>
      <c r="Y68" s="11">
        <f t="shared" si="14"/>
        <v>-9.8391111666666656E-2</v>
      </c>
    </row>
    <row r="69" spans="1:25" ht="15" thickBot="1" x14ac:dyDescent="0.35">
      <c r="A69" s="56">
        <v>45632</v>
      </c>
      <c r="B69">
        <v>-0.39961001299999999</v>
      </c>
      <c r="C69">
        <v>-8.9280001999999997E-2</v>
      </c>
      <c r="D69">
        <v>-0.39961001299999999</v>
      </c>
      <c r="E69">
        <v>-9.1470002999999994E-2</v>
      </c>
      <c r="F69">
        <v>-0.39961001299999999</v>
      </c>
      <c r="G69">
        <v>-9.2349999000000002E-2</v>
      </c>
      <c r="H69">
        <v>-0.39961001299999999</v>
      </c>
      <c r="I69">
        <v>-9.0750000999999997E-2</v>
      </c>
      <c r="J69">
        <v>-0.39961001299999999</v>
      </c>
      <c r="K69">
        <v>-9.2950001000000004E-2</v>
      </c>
      <c r="L69">
        <v>-0.39961001299999999</v>
      </c>
      <c r="M69" s="11">
        <v>-9.8879999999999996E-2</v>
      </c>
      <c r="O69">
        <f t="shared" si="12"/>
        <v>-0.39961001299999999</v>
      </c>
      <c r="P69" s="10">
        <f t="shared" si="4"/>
        <v>-9.1400002333333341E-2</v>
      </c>
      <c r="Q69">
        <f t="shared" si="5"/>
        <v>-9.2363332666666673E-2</v>
      </c>
      <c r="R69">
        <f t="shared" si="6"/>
        <v>-9.0796669333333344E-2</v>
      </c>
      <c r="S69">
        <f t="shared" si="7"/>
        <v>-9.2706667666666673E-2</v>
      </c>
      <c r="T69" s="11">
        <f t="shared" si="8"/>
        <v>-9.9003334666666665E-2</v>
      </c>
      <c r="U69" s="10">
        <f t="shared" si="13"/>
        <v>-9.1230001666666671E-2</v>
      </c>
      <c r="V69">
        <f t="shared" si="13"/>
        <v>-9.2401111999999994E-2</v>
      </c>
      <c r="W69">
        <f t="shared" si="13"/>
        <v>-9.0536669666666666E-2</v>
      </c>
      <c r="X69">
        <f t="shared" si="13"/>
        <v>-9.24877778888889E-2</v>
      </c>
      <c r="Y69" s="11">
        <f t="shared" si="14"/>
        <v>-9.8853334000000001E-2</v>
      </c>
    </row>
    <row r="70" spans="1:25" ht="15" thickBot="1" x14ac:dyDescent="0.35">
      <c r="A70" s="56">
        <v>45632</v>
      </c>
      <c r="B70">
        <v>-0.44955998699999999</v>
      </c>
      <c r="C70">
        <v>-8.9189999000000006E-2</v>
      </c>
      <c r="D70">
        <v>-0.44955998699999999</v>
      </c>
      <c r="E70">
        <v>-9.1499998999999999E-2</v>
      </c>
      <c r="F70">
        <v>-0.44955998699999999</v>
      </c>
      <c r="G70">
        <v>-9.2340000000000005E-2</v>
      </c>
      <c r="H70">
        <v>-0.44955998699999999</v>
      </c>
      <c r="I70">
        <v>-9.0740003E-2</v>
      </c>
      <c r="J70">
        <v>-0.44955998699999999</v>
      </c>
      <c r="K70">
        <v>-9.2639998000000001E-2</v>
      </c>
      <c r="L70">
        <v>-0.44955998699999999</v>
      </c>
      <c r="M70" s="11">
        <v>-9.8420002000000006E-2</v>
      </c>
      <c r="O70">
        <f t="shared" si="12"/>
        <v>-0.44955998699999999</v>
      </c>
      <c r="P70" s="10">
        <f t="shared" si="4"/>
        <v>-9.1463334666666674E-2</v>
      </c>
      <c r="Q70">
        <f t="shared" si="5"/>
        <v>-9.2349998666666669E-2</v>
      </c>
      <c r="R70">
        <f t="shared" si="6"/>
        <v>-9.0760002666666673E-2</v>
      </c>
      <c r="S70">
        <f t="shared" si="7"/>
        <v>-9.2786667333333336E-2</v>
      </c>
      <c r="T70" s="11">
        <f t="shared" si="8"/>
        <v>-9.8756668333333339E-2</v>
      </c>
      <c r="U70" s="10">
        <f t="shared" si="13"/>
        <v>-9.1378890666666671E-2</v>
      </c>
      <c r="V70">
        <f t="shared" si="13"/>
        <v>-9.2367777333333331E-2</v>
      </c>
      <c r="W70">
        <f t="shared" si="13"/>
        <v>-9.0720002888888887E-2</v>
      </c>
      <c r="X70">
        <f t="shared" si="13"/>
        <v>-9.2678889555555574E-2</v>
      </c>
      <c r="Y70" s="11">
        <f t="shared" si="14"/>
        <v>-9.8905556666666672E-2</v>
      </c>
    </row>
    <row r="71" spans="1:25" ht="15" thickBot="1" x14ac:dyDescent="0.35">
      <c r="A71" s="56">
        <v>45632</v>
      </c>
      <c r="B71">
        <v>-0.49950999000000001</v>
      </c>
      <c r="C71">
        <v>-8.9149996999999995E-2</v>
      </c>
      <c r="D71">
        <v>-0.49950999000000001</v>
      </c>
      <c r="E71">
        <v>-9.1509997999999995E-2</v>
      </c>
      <c r="F71">
        <v>-0.49950999000000001</v>
      </c>
      <c r="G71">
        <v>-9.1930001999999997E-2</v>
      </c>
      <c r="H71">
        <v>-0.49950999000000001</v>
      </c>
      <c r="I71">
        <v>-9.0729997000000007E-2</v>
      </c>
      <c r="J71">
        <v>-0.49950999000000001</v>
      </c>
      <c r="K71">
        <v>-9.2490003000000001E-2</v>
      </c>
      <c r="L71">
        <v>-0.49950999000000001</v>
      </c>
      <c r="M71" s="11">
        <v>-9.8599999999999993E-2</v>
      </c>
      <c r="O71">
        <f t="shared" si="12"/>
        <v>-0.49950999000000001</v>
      </c>
      <c r="P71" s="10">
        <f t="shared" si="4"/>
        <v>-9.1493333333333329E-2</v>
      </c>
      <c r="Q71">
        <f t="shared" si="5"/>
        <v>-9.2206667000000006E-2</v>
      </c>
      <c r="R71">
        <f t="shared" si="6"/>
        <v>-9.0740000333333334E-2</v>
      </c>
      <c r="S71">
        <f t="shared" si="7"/>
        <v>-9.2693334000000002E-2</v>
      </c>
      <c r="T71" s="11">
        <f t="shared" si="8"/>
        <v>-9.8633334000000003E-2</v>
      </c>
      <c r="U71" s="10">
        <f t="shared" si="13"/>
        <v>-9.1452223444444439E-2</v>
      </c>
      <c r="V71">
        <f t="shared" si="13"/>
        <v>-9.2306666111111116E-2</v>
      </c>
      <c r="W71">
        <f t="shared" si="13"/>
        <v>-9.0765557444444464E-2</v>
      </c>
      <c r="X71">
        <f t="shared" si="13"/>
        <v>-9.2728889666666661E-2</v>
      </c>
      <c r="Y71" s="11">
        <f t="shared" si="14"/>
        <v>-9.8797779000000016E-2</v>
      </c>
    </row>
    <row r="72" spans="1:25" ht="15" thickBot="1" x14ac:dyDescent="0.35">
      <c r="A72" s="56">
        <v>45632</v>
      </c>
      <c r="B72">
        <v>-0.54945999400000001</v>
      </c>
      <c r="C72">
        <v>-8.9129999000000001E-2</v>
      </c>
      <c r="D72">
        <v>-0.54945999400000001</v>
      </c>
      <c r="E72">
        <v>-9.1519997000000006E-2</v>
      </c>
      <c r="F72">
        <v>-0.54945999400000001</v>
      </c>
      <c r="G72">
        <v>-9.1729999000000007E-2</v>
      </c>
      <c r="H72">
        <v>-0.54945999400000001</v>
      </c>
      <c r="I72">
        <v>-9.0729997000000007E-2</v>
      </c>
      <c r="J72">
        <v>-0.54945999400000001</v>
      </c>
      <c r="K72">
        <v>-9.2009998999999995E-2</v>
      </c>
      <c r="L72">
        <v>-0.54945999400000001</v>
      </c>
      <c r="M72" s="11">
        <v>-9.8289996000000004E-2</v>
      </c>
      <c r="O72">
        <f t="shared" si="12"/>
        <v>-0.54945999400000001</v>
      </c>
      <c r="P72" s="10">
        <f t="shared" si="4"/>
        <v>-9.1509997999999995E-2</v>
      </c>
      <c r="Q72">
        <f t="shared" si="5"/>
        <v>-9.2000000333333332E-2</v>
      </c>
      <c r="R72">
        <f t="shared" si="6"/>
        <v>-9.0733332333333347E-2</v>
      </c>
      <c r="S72">
        <f t="shared" si="7"/>
        <v>-9.2380000000000004E-2</v>
      </c>
      <c r="T72" s="11">
        <f t="shared" si="8"/>
        <v>-9.8436666000000006E-2</v>
      </c>
      <c r="U72" s="10">
        <f t="shared" si="13"/>
        <v>-9.1488888666666657E-2</v>
      </c>
      <c r="V72">
        <f t="shared" si="13"/>
        <v>-9.2185555333333336E-2</v>
      </c>
      <c r="W72">
        <f t="shared" si="13"/>
        <v>-9.0744445111111127E-2</v>
      </c>
      <c r="X72">
        <f t="shared" si="13"/>
        <v>-9.2620000444444447E-2</v>
      </c>
      <c r="Y72" s="11">
        <f t="shared" si="14"/>
        <v>-9.8608889444444459E-2</v>
      </c>
    </row>
    <row r="73" spans="1:25" ht="15" thickBot="1" x14ac:dyDescent="0.35">
      <c r="A73" s="56">
        <v>45632</v>
      </c>
      <c r="B73">
        <v>-0.59940999699999997</v>
      </c>
      <c r="C73">
        <v>-8.9120001000000004E-2</v>
      </c>
      <c r="D73">
        <v>-0.59940999699999997</v>
      </c>
      <c r="E73">
        <v>-9.1519997000000006E-2</v>
      </c>
      <c r="F73">
        <v>-0.59940999699999997</v>
      </c>
      <c r="G73">
        <v>-9.1629997000000005E-2</v>
      </c>
      <c r="H73">
        <v>-0.59940999699999997</v>
      </c>
      <c r="I73">
        <v>-9.0319998999999998E-2</v>
      </c>
      <c r="J73">
        <v>-0.59940999699999997</v>
      </c>
      <c r="K73">
        <v>-9.1770001000000004E-2</v>
      </c>
      <c r="L73">
        <v>-0.59940999699999997</v>
      </c>
      <c r="M73" s="11">
        <v>-9.8130002999999993E-2</v>
      </c>
      <c r="O73">
        <f t="shared" si="12"/>
        <v>-0.59940999699999997</v>
      </c>
      <c r="P73" s="10">
        <f t="shared" si="4"/>
        <v>-9.1516664000000011E-2</v>
      </c>
      <c r="Q73">
        <f t="shared" si="5"/>
        <v>-9.1763332666666683E-2</v>
      </c>
      <c r="R73">
        <f t="shared" si="6"/>
        <v>-9.0593330999999999E-2</v>
      </c>
      <c r="S73">
        <f t="shared" si="7"/>
        <v>-9.2090000999999991E-2</v>
      </c>
      <c r="T73" s="11">
        <f t="shared" si="8"/>
        <v>-9.8339999666666664E-2</v>
      </c>
      <c r="U73" s="10">
        <f t="shared" si="13"/>
        <v>-9.1506665111111107E-2</v>
      </c>
      <c r="V73">
        <f t="shared" si="13"/>
        <v>-9.1990000000000016E-2</v>
      </c>
      <c r="W73">
        <f t="shared" si="13"/>
        <v>-9.0688887888888889E-2</v>
      </c>
      <c r="X73">
        <f t="shared" si="13"/>
        <v>-9.2387778333333337E-2</v>
      </c>
      <c r="Y73" s="11">
        <f t="shared" si="14"/>
        <v>-9.8469999888888896E-2</v>
      </c>
    </row>
    <row r="74" spans="1:25" ht="15" thickBot="1" x14ac:dyDescent="0.35">
      <c r="A74" s="56">
        <v>45632</v>
      </c>
      <c r="B74">
        <v>-0.64937001500000002</v>
      </c>
      <c r="C74">
        <v>-8.9120001000000004E-2</v>
      </c>
      <c r="D74">
        <v>-0.64937001500000002</v>
      </c>
      <c r="E74">
        <v>-9.1119996999999994E-2</v>
      </c>
      <c r="F74">
        <v>-0.64937001500000002</v>
      </c>
      <c r="G74">
        <v>-9.1580002999999993E-2</v>
      </c>
      <c r="H74">
        <v>-0.64937001500000002</v>
      </c>
      <c r="I74">
        <v>-9.0120003000000004E-2</v>
      </c>
      <c r="J74">
        <v>-0.64937001500000002</v>
      </c>
      <c r="K74">
        <v>-9.1650001999999994E-2</v>
      </c>
      <c r="L74">
        <v>-0.64937001500000002</v>
      </c>
      <c r="M74" s="11">
        <v>-9.7649999000000001E-2</v>
      </c>
      <c r="O74">
        <f t="shared" si="12"/>
        <v>-0.64937001500000002</v>
      </c>
      <c r="P74" s="10">
        <f t="shared" si="4"/>
        <v>-9.1386663666666659E-2</v>
      </c>
      <c r="Q74">
        <f t="shared" si="5"/>
        <v>-9.1646666333333335E-2</v>
      </c>
      <c r="R74">
        <f t="shared" si="6"/>
        <v>-9.0389999666666665E-2</v>
      </c>
      <c r="S74">
        <f t="shared" si="7"/>
        <v>-9.1810000666666669E-2</v>
      </c>
      <c r="T74" s="11">
        <f t="shared" si="8"/>
        <v>-9.8023332666666671E-2</v>
      </c>
      <c r="U74" s="10">
        <f t="shared" si="13"/>
        <v>-9.1471108555555555E-2</v>
      </c>
      <c r="V74">
        <f t="shared" si="13"/>
        <v>-9.1803333111111121E-2</v>
      </c>
      <c r="W74">
        <f t="shared" si="13"/>
        <v>-9.0572221000000008E-2</v>
      </c>
      <c r="X74">
        <f t="shared" si="13"/>
        <v>-9.2093333888888892E-2</v>
      </c>
      <c r="Y74" s="11">
        <f t="shared" si="14"/>
        <v>-9.8266666111111123E-2</v>
      </c>
    </row>
    <row r="75" spans="1:25" ht="15" thickBot="1" x14ac:dyDescent="0.35">
      <c r="A75" s="56">
        <v>45632</v>
      </c>
      <c r="B75">
        <v>-0.69932001799999999</v>
      </c>
      <c r="C75">
        <v>-8.9110001999999994E-2</v>
      </c>
      <c r="D75">
        <v>-0.69932001799999999</v>
      </c>
      <c r="E75">
        <v>-9.1329998999999995E-2</v>
      </c>
      <c r="F75">
        <v>-0.69932001799999999</v>
      </c>
      <c r="G75">
        <v>-9.1550000000000006E-2</v>
      </c>
      <c r="H75">
        <v>-0.69932001799999999</v>
      </c>
      <c r="I75">
        <v>-9.0020001000000002E-2</v>
      </c>
      <c r="J75">
        <v>-0.69932001799999999</v>
      </c>
      <c r="K75">
        <v>-9.1590002000000004E-2</v>
      </c>
      <c r="L75">
        <v>-0.69932001799999999</v>
      </c>
      <c r="M75" s="11">
        <v>-9.7410000999999996E-2</v>
      </c>
      <c r="O75">
        <f t="shared" si="12"/>
        <v>-0.69932001799999999</v>
      </c>
      <c r="P75" s="10">
        <f t="shared" si="4"/>
        <v>-9.1323331000000008E-2</v>
      </c>
      <c r="Q75">
        <f t="shared" si="5"/>
        <v>-9.1586666666666663E-2</v>
      </c>
      <c r="R75">
        <f t="shared" si="6"/>
        <v>-9.0153334333333335E-2</v>
      </c>
      <c r="S75">
        <f t="shared" si="7"/>
        <v>-9.1670001666666667E-2</v>
      </c>
      <c r="T75" s="11">
        <f t="shared" si="8"/>
        <v>-9.7730000999999997E-2</v>
      </c>
      <c r="U75" s="10">
        <f t="shared" si="13"/>
        <v>-9.1408886222222221E-2</v>
      </c>
      <c r="V75">
        <f t="shared" si="13"/>
        <v>-9.1665555222222236E-2</v>
      </c>
      <c r="W75">
        <f t="shared" si="13"/>
        <v>-9.0378888333333338E-2</v>
      </c>
      <c r="X75">
        <f t="shared" si="13"/>
        <v>-9.1856667777777776E-2</v>
      </c>
      <c r="Y75" s="11">
        <f t="shared" si="14"/>
        <v>-9.8031111111111111E-2</v>
      </c>
    </row>
    <row r="76" spans="1:25" ht="15" thickBot="1" x14ac:dyDescent="0.35">
      <c r="A76" s="56">
        <v>45632</v>
      </c>
      <c r="B76">
        <v>-0.74927002200000004</v>
      </c>
      <c r="C76">
        <v>-8.9110001999999994E-2</v>
      </c>
      <c r="D76">
        <v>-0.74927002200000004</v>
      </c>
      <c r="E76">
        <v>-9.1020003000000002E-2</v>
      </c>
      <c r="F76">
        <v>-0.74927002200000004</v>
      </c>
      <c r="G76">
        <v>-9.1540000999999996E-2</v>
      </c>
      <c r="H76">
        <v>-0.74927002200000004</v>
      </c>
      <c r="I76">
        <v>-8.9969999999999994E-2</v>
      </c>
      <c r="J76">
        <v>-0.74927002200000004</v>
      </c>
      <c r="K76">
        <v>-9.1559999000000003E-2</v>
      </c>
      <c r="L76">
        <v>-0.74927002200000004</v>
      </c>
      <c r="M76" s="11">
        <v>-9.7290002E-2</v>
      </c>
      <c r="O76">
        <f t="shared" si="12"/>
        <v>-0.74927002200000004</v>
      </c>
      <c r="P76" s="10">
        <f t="shared" si="4"/>
        <v>-9.1156666333333344E-2</v>
      </c>
      <c r="Q76">
        <f t="shared" si="5"/>
        <v>-9.1556667999999994E-2</v>
      </c>
      <c r="R76">
        <f t="shared" si="6"/>
        <v>-9.0036668E-2</v>
      </c>
      <c r="S76">
        <f t="shared" si="7"/>
        <v>-9.1600001E-2</v>
      </c>
      <c r="T76" s="11">
        <f t="shared" si="8"/>
        <v>-9.7450000666666661E-2</v>
      </c>
      <c r="U76" s="10">
        <f t="shared" si="13"/>
        <v>-9.1288886999999999E-2</v>
      </c>
      <c r="V76">
        <f t="shared" si="13"/>
        <v>-9.1596667000000007E-2</v>
      </c>
      <c r="W76">
        <f t="shared" si="13"/>
        <v>-9.0193334E-2</v>
      </c>
      <c r="X76">
        <f t="shared" si="13"/>
        <v>-9.1693334444444441E-2</v>
      </c>
      <c r="Y76" s="11">
        <f t="shared" si="14"/>
        <v>-9.7734444777777776E-2</v>
      </c>
    </row>
    <row r="77" spans="1:25" ht="15" thickBot="1" x14ac:dyDescent="0.35">
      <c r="A77" s="56">
        <v>45632</v>
      </c>
      <c r="B77">
        <v>-0.79922002599999997</v>
      </c>
      <c r="C77">
        <v>-8.9110001999999994E-2</v>
      </c>
      <c r="D77">
        <v>-0.79922002599999997</v>
      </c>
      <c r="E77">
        <v>-9.0870000000000006E-2</v>
      </c>
      <c r="F77">
        <v>-0.79922002599999997</v>
      </c>
      <c r="G77">
        <v>-9.1530002999999999E-2</v>
      </c>
      <c r="H77">
        <v>-0.79922002599999997</v>
      </c>
      <c r="I77">
        <v>-8.9939996999999994E-2</v>
      </c>
      <c r="J77">
        <v>-0.79922002599999997</v>
      </c>
      <c r="K77">
        <v>-9.1540000999999996E-2</v>
      </c>
      <c r="L77">
        <v>-0.79922002599999997</v>
      </c>
      <c r="M77" s="11">
        <v>-9.7230001999999996E-2</v>
      </c>
      <c r="O77">
        <f t="shared" si="12"/>
        <v>-0.79922002599999997</v>
      </c>
      <c r="P77" s="10">
        <f t="shared" si="4"/>
        <v>-9.1073334000000006E-2</v>
      </c>
      <c r="Q77">
        <f t="shared" si="5"/>
        <v>-9.1540001333333329E-2</v>
      </c>
      <c r="R77">
        <f t="shared" si="6"/>
        <v>-8.9976665999999997E-2</v>
      </c>
      <c r="S77">
        <f t="shared" si="7"/>
        <v>-9.1563333999999996E-2</v>
      </c>
      <c r="T77" s="11">
        <f t="shared" si="8"/>
        <v>-9.731000166666666E-2</v>
      </c>
      <c r="U77" s="10">
        <f t="shared" si="13"/>
        <v>-9.1184443777777791E-2</v>
      </c>
      <c r="V77">
        <f t="shared" si="13"/>
        <v>-9.1561112E-2</v>
      </c>
      <c r="W77">
        <f t="shared" si="13"/>
        <v>-9.0055556111111101E-2</v>
      </c>
      <c r="X77">
        <f t="shared" si="13"/>
        <v>-9.1611112222222221E-2</v>
      </c>
      <c r="Y77" s="11">
        <f t="shared" si="14"/>
        <v>-9.7496667777777768E-2</v>
      </c>
    </row>
    <row r="78" spans="1:25" ht="15" thickBot="1" x14ac:dyDescent="0.35">
      <c r="A78" s="56">
        <v>45632</v>
      </c>
      <c r="B78">
        <v>-0.84917002900000005</v>
      </c>
      <c r="C78">
        <v>-8.9110001999999994E-2</v>
      </c>
      <c r="D78">
        <v>-0.84917002900000005</v>
      </c>
      <c r="E78">
        <v>-9.0800002000000005E-2</v>
      </c>
      <c r="F78">
        <v>-0.84917002900000005</v>
      </c>
      <c r="G78">
        <v>-9.1530002999999999E-2</v>
      </c>
      <c r="H78">
        <v>-0.84917002900000005</v>
      </c>
      <c r="I78">
        <v>-8.9929997999999997E-2</v>
      </c>
      <c r="J78">
        <v>-0.84917002900000005</v>
      </c>
      <c r="K78">
        <v>-9.1540000999999996E-2</v>
      </c>
      <c r="L78">
        <v>-0.84917002900000005</v>
      </c>
      <c r="M78" s="11">
        <v>-9.7199998999999995E-2</v>
      </c>
      <c r="O78">
        <f t="shared" si="12"/>
        <v>-0.84917002900000005</v>
      </c>
      <c r="P78" s="10">
        <f t="shared" si="4"/>
        <v>-9.0896668333333333E-2</v>
      </c>
      <c r="Q78">
        <f t="shared" si="5"/>
        <v>-9.153333566666666E-2</v>
      </c>
      <c r="R78">
        <f t="shared" si="6"/>
        <v>-8.9946664999999995E-2</v>
      </c>
      <c r="S78">
        <f t="shared" si="7"/>
        <v>-9.1546666999999984E-2</v>
      </c>
      <c r="T78" s="11">
        <f t="shared" si="8"/>
        <v>-9.7240001000000006E-2</v>
      </c>
      <c r="U78" s="10">
        <f t="shared" si="13"/>
        <v>-9.1042222888888899E-2</v>
      </c>
      <c r="V78">
        <f t="shared" si="13"/>
        <v>-9.1543335000000003E-2</v>
      </c>
      <c r="W78">
        <f t="shared" si="13"/>
        <v>-8.998666633333334E-2</v>
      </c>
      <c r="X78">
        <f t="shared" si="13"/>
        <v>-9.1570000666666651E-2</v>
      </c>
      <c r="Y78" s="11">
        <f t="shared" si="14"/>
        <v>-9.7333334444444433E-2</v>
      </c>
    </row>
    <row r="79" spans="1:25" ht="15" thickBot="1" x14ac:dyDescent="0.35">
      <c r="A79" s="56">
        <v>45632</v>
      </c>
      <c r="B79">
        <v>-0.89911997300000002</v>
      </c>
      <c r="C79">
        <v>-8.9110001999999994E-2</v>
      </c>
      <c r="D79">
        <v>-0.89911997300000002</v>
      </c>
      <c r="E79">
        <v>-9.0759999999999993E-2</v>
      </c>
      <c r="F79">
        <v>-0.89911997300000002</v>
      </c>
      <c r="G79">
        <v>-9.1130003000000001E-2</v>
      </c>
      <c r="H79">
        <v>-0.89911997300000002</v>
      </c>
      <c r="I79">
        <v>-8.9919999E-2</v>
      </c>
      <c r="J79">
        <v>-0.89911997300000002</v>
      </c>
      <c r="K79">
        <v>-9.1130003000000001E-2</v>
      </c>
      <c r="L79">
        <v>-0.89911997300000002</v>
      </c>
      <c r="M79" s="11">
        <v>-9.6780002000000004E-2</v>
      </c>
      <c r="O79">
        <f t="shared" si="12"/>
        <v>-0.89911997300000002</v>
      </c>
      <c r="P79" s="10">
        <f t="shared" si="4"/>
        <v>-9.0810000666666668E-2</v>
      </c>
      <c r="Q79">
        <f t="shared" si="5"/>
        <v>-9.1396669666666666E-2</v>
      </c>
      <c r="R79">
        <f t="shared" si="6"/>
        <v>-8.9929998000000011E-2</v>
      </c>
      <c r="S79">
        <f t="shared" si="7"/>
        <v>-9.1403334999999988E-2</v>
      </c>
      <c r="T79" s="11">
        <f t="shared" si="8"/>
        <v>-9.7070001000000003E-2</v>
      </c>
      <c r="U79" s="10">
        <f t="shared" si="13"/>
        <v>-9.0926667666666669E-2</v>
      </c>
      <c r="V79">
        <f t="shared" si="13"/>
        <v>-9.1490002222222214E-2</v>
      </c>
      <c r="W79">
        <f t="shared" si="13"/>
        <v>-8.9951109666666682E-2</v>
      </c>
      <c r="X79">
        <f t="shared" si="13"/>
        <v>-9.1504445333333309E-2</v>
      </c>
      <c r="Y79" s="11">
        <f t="shared" si="14"/>
        <v>-9.720666788888889E-2</v>
      </c>
    </row>
    <row r="80" spans="1:25" ht="15" thickBot="1" x14ac:dyDescent="0.35">
      <c r="A80" s="56">
        <v>45632</v>
      </c>
      <c r="B80">
        <v>-0.90153998099999999</v>
      </c>
      <c r="C80">
        <v>-8.9110001999999994E-2</v>
      </c>
      <c r="D80">
        <v>-0.90153998099999999</v>
      </c>
      <c r="E80">
        <v>-9.0740003E-2</v>
      </c>
      <c r="F80">
        <v>-0.90153998099999999</v>
      </c>
      <c r="G80">
        <v>-9.1329998999999995E-2</v>
      </c>
      <c r="H80">
        <v>-0.90153998099999999</v>
      </c>
      <c r="I80">
        <v>-8.9919999E-2</v>
      </c>
      <c r="J80">
        <v>-0.90153998099999999</v>
      </c>
      <c r="K80">
        <v>-9.0929999999999997E-2</v>
      </c>
      <c r="L80">
        <v>-0.90153998099999999</v>
      </c>
      <c r="M80" s="11">
        <v>-9.6570000000000003E-2</v>
      </c>
      <c r="O80">
        <f t="shared" si="12"/>
        <v>-0.90153998099999999</v>
      </c>
      <c r="P80" s="10">
        <f t="shared" si="4"/>
        <v>-9.0766668333333342E-2</v>
      </c>
      <c r="Q80">
        <f t="shared" si="5"/>
        <v>-9.133000166666666E-2</v>
      </c>
      <c r="R80">
        <f t="shared" si="6"/>
        <v>-8.9923331999999981E-2</v>
      </c>
      <c r="S80">
        <f t="shared" si="7"/>
        <v>-9.1200001333333336E-2</v>
      </c>
      <c r="T80" s="11">
        <f t="shared" si="8"/>
        <v>-9.6850000333333339E-2</v>
      </c>
      <c r="U80" s="10">
        <f t="shared" si="13"/>
        <v>-9.0824445777777776E-2</v>
      </c>
      <c r="V80">
        <f t="shared" si="13"/>
        <v>-9.1420002333333319E-2</v>
      </c>
      <c r="W80">
        <f t="shared" si="13"/>
        <v>-8.9933331666666658E-2</v>
      </c>
      <c r="X80">
        <f t="shared" si="13"/>
        <v>-9.1383334444444422E-2</v>
      </c>
      <c r="Y80" s="11">
        <f t="shared" si="14"/>
        <v>-9.7053334111111111E-2</v>
      </c>
    </row>
    <row r="81" spans="1:25" ht="15" thickBot="1" x14ac:dyDescent="0.35">
      <c r="A81" s="56">
        <v>45632</v>
      </c>
      <c r="B81">
        <v>-0.85158997800000003</v>
      </c>
      <c r="C81">
        <v>-8.9110001999999994E-2</v>
      </c>
      <c r="D81">
        <v>-0.85158997800000003</v>
      </c>
      <c r="E81">
        <v>-9.0729997000000007E-2</v>
      </c>
      <c r="F81">
        <v>-0.85158997800000003</v>
      </c>
      <c r="G81">
        <v>-9.1430000999999997E-2</v>
      </c>
      <c r="H81">
        <v>-0.85158997800000003</v>
      </c>
      <c r="I81">
        <v>-8.9919999E-2</v>
      </c>
      <c r="J81">
        <v>-0.85158997800000003</v>
      </c>
      <c r="K81">
        <v>-9.0819999999999998E-2</v>
      </c>
      <c r="L81">
        <v>-0.85158997800000003</v>
      </c>
      <c r="M81" s="11">
        <v>-9.6469998000000001E-2</v>
      </c>
      <c r="O81">
        <f t="shared" si="12"/>
        <v>-0.85158997800000003</v>
      </c>
      <c r="P81" s="10">
        <f t="shared" si="4"/>
        <v>-9.0743333333333329E-2</v>
      </c>
      <c r="Q81">
        <f t="shared" si="5"/>
        <v>-9.1296667666666664E-2</v>
      </c>
      <c r="R81">
        <f t="shared" si="6"/>
        <v>-8.9919998999999987E-2</v>
      </c>
      <c r="S81">
        <f t="shared" si="7"/>
        <v>-9.0960000999999999E-2</v>
      </c>
      <c r="T81" s="11">
        <f t="shared" si="8"/>
        <v>-9.6606666666666674E-2</v>
      </c>
      <c r="U81" s="10">
        <f t="shared" si="13"/>
        <v>-9.0773334111111117E-2</v>
      </c>
      <c r="V81">
        <f t="shared" si="13"/>
        <v>-9.1341112999999988E-2</v>
      </c>
      <c r="W81">
        <f t="shared" si="13"/>
        <v>-8.9924442999999979E-2</v>
      </c>
      <c r="X81">
        <f t="shared" si="13"/>
        <v>-9.1187779111111103E-2</v>
      </c>
      <c r="Y81" s="11">
        <f t="shared" si="14"/>
        <v>-9.6842222666666686E-2</v>
      </c>
    </row>
    <row r="82" spans="1:25" ht="15" thickBot="1" x14ac:dyDescent="0.35">
      <c r="A82" s="56">
        <v>45632</v>
      </c>
      <c r="B82">
        <v>-0.80163997399999998</v>
      </c>
      <c r="C82">
        <v>-8.9110001999999994E-2</v>
      </c>
      <c r="D82">
        <v>-0.80163997399999998</v>
      </c>
      <c r="E82">
        <v>-9.0729997000000007E-2</v>
      </c>
      <c r="F82">
        <v>-0.80163997399999998</v>
      </c>
      <c r="G82">
        <v>-9.1080001999999993E-2</v>
      </c>
      <c r="H82">
        <v>-0.80163997399999998</v>
      </c>
      <c r="I82">
        <v>-8.9919999E-2</v>
      </c>
      <c r="J82">
        <v>-0.80163997399999998</v>
      </c>
      <c r="K82">
        <v>-9.0769999000000004E-2</v>
      </c>
      <c r="L82">
        <v>-0.80163997399999998</v>
      </c>
      <c r="M82" s="11">
        <v>-9.6409998999999996E-2</v>
      </c>
      <c r="O82">
        <f t="shared" si="12"/>
        <v>-0.80163997399999998</v>
      </c>
      <c r="P82" s="10">
        <f t="shared" si="4"/>
        <v>-9.0733332333333347E-2</v>
      </c>
      <c r="Q82">
        <f t="shared" si="5"/>
        <v>-9.1280000666666652E-2</v>
      </c>
      <c r="R82">
        <f t="shared" si="6"/>
        <v>-8.9919998999999987E-2</v>
      </c>
      <c r="S82">
        <f t="shared" si="7"/>
        <v>-9.0839999666666671E-2</v>
      </c>
      <c r="T82" s="11">
        <f t="shared" si="8"/>
        <v>-9.6483332333333324E-2</v>
      </c>
      <c r="U82" s="10">
        <f t="shared" si="13"/>
        <v>-9.0747778000000001E-2</v>
      </c>
      <c r="V82">
        <f t="shared" si="13"/>
        <v>-9.1302223333333321E-2</v>
      </c>
      <c r="W82">
        <f t="shared" si="13"/>
        <v>-8.9921109999999985E-2</v>
      </c>
      <c r="X82">
        <f t="shared" si="13"/>
        <v>-9.1000000666666678E-2</v>
      </c>
      <c r="Y82" s="11">
        <f t="shared" si="14"/>
        <v>-9.664666644444446E-2</v>
      </c>
    </row>
    <row r="83" spans="1:25" ht="15" thickBot="1" x14ac:dyDescent="0.35">
      <c r="A83" s="56">
        <v>45632</v>
      </c>
      <c r="B83">
        <v>-0.75168001699999998</v>
      </c>
      <c r="C83">
        <v>-8.9110001999999994E-2</v>
      </c>
      <c r="D83">
        <v>-0.75168001699999998</v>
      </c>
      <c r="E83">
        <v>-9.0729997000000007E-2</v>
      </c>
      <c r="F83">
        <v>-0.75168001699999998</v>
      </c>
      <c r="G83">
        <v>-9.1300003000000005E-2</v>
      </c>
      <c r="H83">
        <v>-0.75168001699999998</v>
      </c>
      <c r="I83">
        <v>-8.9919999E-2</v>
      </c>
      <c r="J83">
        <v>-0.75168001699999998</v>
      </c>
      <c r="K83">
        <v>-9.0750000999999997E-2</v>
      </c>
      <c r="L83">
        <v>-0.75168001699999998</v>
      </c>
      <c r="M83" s="11">
        <v>-9.6390001000000003E-2</v>
      </c>
      <c r="O83">
        <f t="shared" si="12"/>
        <v>-0.75168001699999998</v>
      </c>
      <c r="P83" s="10">
        <f t="shared" si="4"/>
        <v>-9.0729997000000007E-2</v>
      </c>
      <c r="Q83">
        <f t="shared" si="5"/>
        <v>-9.1270002000000003E-2</v>
      </c>
      <c r="R83">
        <f t="shared" si="6"/>
        <v>-8.9919998999999987E-2</v>
      </c>
      <c r="S83">
        <f t="shared" si="7"/>
        <v>-9.0780000000000013E-2</v>
      </c>
      <c r="T83" s="11">
        <f t="shared" si="8"/>
        <v>-9.6423332666666653E-2</v>
      </c>
      <c r="U83" s="10">
        <f t="shared" si="13"/>
        <v>-9.0735554222222237E-2</v>
      </c>
      <c r="V83">
        <f t="shared" si="13"/>
        <v>-9.1282223444444435E-2</v>
      </c>
      <c r="W83">
        <f t="shared" si="13"/>
        <v>-8.9919998999999987E-2</v>
      </c>
      <c r="X83">
        <f t="shared" si="13"/>
        <v>-9.0860000222222237E-2</v>
      </c>
      <c r="Y83" s="11">
        <f t="shared" si="14"/>
        <v>-9.6504443888888888E-2</v>
      </c>
    </row>
    <row r="84" spans="1:25" ht="15" thickBot="1" x14ac:dyDescent="0.35">
      <c r="A84" s="56">
        <v>45632</v>
      </c>
      <c r="B84">
        <v>-0.70173001300000004</v>
      </c>
      <c r="C84">
        <v>-8.9110001999999994E-2</v>
      </c>
      <c r="D84">
        <v>-0.70173001300000004</v>
      </c>
      <c r="E84">
        <v>-9.0719997999999996E-2</v>
      </c>
      <c r="F84">
        <v>-0.70173001300000004</v>
      </c>
      <c r="G84">
        <v>-9.1420002E-2</v>
      </c>
      <c r="H84">
        <v>-0.70173001300000004</v>
      </c>
      <c r="I84">
        <v>-8.9919999E-2</v>
      </c>
      <c r="J84">
        <v>-0.70173001300000004</v>
      </c>
      <c r="K84">
        <v>-9.0740003E-2</v>
      </c>
      <c r="L84">
        <v>-0.70173001300000004</v>
      </c>
      <c r="M84" s="11">
        <v>-9.6380003000000006E-2</v>
      </c>
      <c r="O84">
        <f t="shared" si="12"/>
        <v>-0.70173001300000004</v>
      </c>
      <c r="P84" s="10">
        <f t="shared" si="4"/>
        <v>-9.0726663999999999E-2</v>
      </c>
      <c r="Q84">
        <f t="shared" si="5"/>
        <v>-9.1266669000000009E-2</v>
      </c>
      <c r="R84">
        <f t="shared" si="6"/>
        <v>-8.9919998999999987E-2</v>
      </c>
      <c r="S84">
        <f t="shared" si="7"/>
        <v>-9.0753334333333338E-2</v>
      </c>
      <c r="T84" s="11">
        <f t="shared" si="8"/>
        <v>-9.6393334333333344E-2</v>
      </c>
      <c r="U84" s="10">
        <f t="shared" si="13"/>
        <v>-9.0729997777777793E-2</v>
      </c>
      <c r="V84">
        <f t="shared" si="13"/>
        <v>-9.1272223888888893E-2</v>
      </c>
      <c r="W84">
        <f t="shared" si="13"/>
        <v>-8.9919998999999987E-2</v>
      </c>
      <c r="X84">
        <f t="shared" si="13"/>
        <v>-9.0791111333333341E-2</v>
      </c>
      <c r="Y84" s="11">
        <f t="shared" si="14"/>
        <v>-9.6433333111111116E-2</v>
      </c>
    </row>
    <row r="85" spans="1:25" ht="15" thickBot="1" x14ac:dyDescent="0.35">
      <c r="A85" s="56">
        <v>45632</v>
      </c>
      <c r="B85">
        <v>-0.65178000899999999</v>
      </c>
      <c r="C85">
        <v>-8.9110001999999994E-2</v>
      </c>
      <c r="D85">
        <v>-0.65178000899999999</v>
      </c>
      <c r="E85">
        <v>-9.0719997999999996E-2</v>
      </c>
      <c r="F85">
        <v>-0.65178000899999999</v>
      </c>
      <c r="G85">
        <v>-9.1470002999999994E-2</v>
      </c>
      <c r="H85">
        <v>-0.65178000899999999</v>
      </c>
      <c r="I85">
        <v>-8.9919999E-2</v>
      </c>
      <c r="J85">
        <v>-0.65178000899999999</v>
      </c>
      <c r="K85">
        <v>-9.0729997000000007E-2</v>
      </c>
      <c r="L85">
        <v>-0.65178000899999999</v>
      </c>
      <c r="M85" s="11">
        <v>-9.6369996999999999E-2</v>
      </c>
      <c r="O85">
        <f t="shared" si="12"/>
        <v>-0.65178000899999999</v>
      </c>
      <c r="P85" s="10">
        <f t="shared" si="4"/>
        <v>-9.0723331000000004E-2</v>
      </c>
      <c r="Q85">
        <f t="shared" si="5"/>
        <v>-9.1396669333333347E-2</v>
      </c>
      <c r="R85">
        <f t="shared" si="6"/>
        <v>-8.9919998999999987E-2</v>
      </c>
      <c r="S85">
        <f t="shared" si="7"/>
        <v>-9.0740000333333334E-2</v>
      </c>
      <c r="T85" s="11">
        <f t="shared" si="8"/>
        <v>-9.6380000333333327E-2</v>
      </c>
      <c r="U85" s="10">
        <f t="shared" si="13"/>
        <v>-9.0726664000000012E-2</v>
      </c>
      <c r="V85">
        <f t="shared" si="13"/>
        <v>-9.1311113444444467E-2</v>
      </c>
      <c r="W85">
        <f t="shared" si="13"/>
        <v>-8.9919998999999987E-2</v>
      </c>
      <c r="X85">
        <f t="shared" si="13"/>
        <v>-9.0757778222222238E-2</v>
      </c>
      <c r="Y85" s="11">
        <f t="shared" si="14"/>
        <v>-9.6398889111111108E-2</v>
      </c>
    </row>
    <row r="86" spans="1:25" ht="15" thickBot="1" x14ac:dyDescent="0.35">
      <c r="A86" s="56">
        <v>45632</v>
      </c>
      <c r="B86">
        <v>-0.60183000600000003</v>
      </c>
      <c r="C86">
        <v>-8.9110001999999994E-2</v>
      </c>
      <c r="D86">
        <v>-0.60183000600000003</v>
      </c>
      <c r="E86">
        <v>-9.0719997999999996E-2</v>
      </c>
      <c r="F86">
        <v>-0.60183000600000003</v>
      </c>
      <c r="G86">
        <v>-9.1499998999999999E-2</v>
      </c>
      <c r="H86">
        <v>-0.60183000600000003</v>
      </c>
      <c r="I86">
        <v>-8.9919999E-2</v>
      </c>
      <c r="J86">
        <v>-0.60183000600000003</v>
      </c>
      <c r="K86">
        <v>-9.0729997000000007E-2</v>
      </c>
      <c r="L86">
        <v>-0.60183000600000003</v>
      </c>
      <c r="M86" s="11">
        <v>-9.5959999000000004E-2</v>
      </c>
      <c r="O86">
        <f t="shared" si="12"/>
        <v>-0.60183000600000003</v>
      </c>
      <c r="P86" s="10">
        <f t="shared" si="4"/>
        <v>-9.071999800000001E-2</v>
      </c>
      <c r="Q86">
        <f t="shared" si="5"/>
        <v>-9.1463334666666674E-2</v>
      </c>
      <c r="R86">
        <f t="shared" si="6"/>
        <v>-8.9919998999999987E-2</v>
      </c>
      <c r="S86">
        <f t="shared" si="7"/>
        <v>-9.0733332333333347E-2</v>
      </c>
      <c r="T86" s="11">
        <f t="shared" si="8"/>
        <v>-9.6236666333333332E-2</v>
      </c>
      <c r="U86" s="10">
        <f t="shared" si="13"/>
        <v>-9.0723331000000004E-2</v>
      </c>
      <c r="V86">
        <f t="shared" si="13"/>
        <v>-9.1375557666666676E-2</v>
      </c>
      <c r="W86">
        <f t="shared" si="13"/>
        <v>-8.9919998999999987E-2</v>
      </c>
      <c r="X86">
        <f t="shared" si="13"/>
        <v>-9.0742222333333344E-2</v>
      </c>
      <c r="Y86" s="11">
        <f t="shared" si="14"/>
        <v>-9.6336667000000001E-2</v>
      </c>
    </row>
    <row r="87" spans="1:25" ht="15" thickBot="1" x14ac:dyDescent="0.35">
      <c r="A87" s="56">
        <v>45632</v>
      </c>
      <c r="B87">
        <v>-0.55188000199999998</v>
      </c>
      <c r="C87">
        <v>-8.9110001999999994E-2</v>
      </c>
      <c r="D87">
        <v>-0.55188000199999998</v>
      </c>
      <c r="E87">
        <v>-9.0719997999999996E-2</v>
      </c>
      <c r="F87">
        <v>-0.55188000199999998</v>
      </c>
      <c r="G87">
        <v>-9.1509997999999995E-2</v>
      </c>
      <c r="H87">
        <v>-0.55188000199999998</v>
      </c>
      <c r="I87">
        <v>-8.9919999E-2</v>
      </c>
      <c r="J87">
        <v>-0.55188000199999998</v>
      </c>
      <c r="K87">
        <v>-9.0719997999999996E-2</v>
      </c>
      <c r="L87">
        <v>-0.55188000199999998</v>
      </c>
      <c r="M87" s="11">
        <v>-9.6160001999999994E-2</v>
      </c>
      <c r="O87">
        <f t="shared" si="12"/>
        <v>-0.55188000199999998</v>
      </c>
      <c r="P87" s="10">
        <f t="shared" si="4"/>
        <v>-9.071999800000001E-2</v>
      </c>
      <c r="Q87">
        <f t="shared" si="5"/>
        <v>-9.1493333333333329E-2</v>
      </c>
      <c r="R87">
        <f t="shared" si="6"/>
        <v>-8.9919998999999987E-2</v>
      </c>
      <c r="S87">
        <f t="shared" si="7"/>
        <v>-9.0726663999999999E-2</v>
      </c>
      <c r="T87" s="11">
        <f t="shared" si="8"/>
        <v>-9.6163332666666657E-2</v>
      </c>
      <c r="U87" s="10">
        <f t="shared" si="13"/>
        <v>-9.0721109000000008E-2</v>
      </c>
      <c r="V87">
        <f t="shared" si="13"/>
        <v>-9.1451112444444441E-2</v>
      </c>
      <c r="W87">
        <f t="shared" si="13"/>
        <v>-8.9919998999999987E-2</v>
      </c>
      <c r="X87">
        <f t="shared" si="13"/>
        <v>-9.0733332222222227E-2</v>
      </c>
      <c r="Y87" s="11">
        <f t="shared" si="14"/>
        <v>-9.6259999777777772E-2</v>
      </c>
    </row>
    <row r="88" spans="1:25" ht="15" thickBot="1" x14ac:dyDescent="0.35">
      <c r="A88" s="56">
        <v>45632</v>
      </c>
      <c r="B88">
        <v>-0.50192999800000004</v>
      </c>
      <c r="C88">
        <v>-8.9110001999999994E-2</v>
      </c>
      <c r="D88">
        <v>-0.50192999800000004</v>
      </c>
      <c r="E88">
        <v>-9.0719997999999996E-2</v>
      </c>
      <c r="F88">
        <v>-0.50192999800000004</v>
      </c>
      <c r="G88">
        <v>-9.1519997000000006E-2</v>
      </c>
      <c r="H88">
        <v>-0.50192999800000004</v>
      </c>
      <c r="I88">
        <v>-8.9510001000000006E-2</v>
      </c>
      <c r="J88">
        <v>-0.50192999800000004</v>
      </c>
      <c r="K88">
        <v>-9.0719997999999996E-2</v>
      </c>
      <c r="L88">
        <v>-0.50192999800000004</v>
      </c>
      <c r="M88" s="11">
        <v>-9.6259996E-2</v>
      </c>
      <c r="O88">
        <f t="shared" si="12"/>
        <v>-0.50192999800000004</v>
      </c>
      <c r="P88" s="10">
        <f t="shared" si="4"/>
        <v>-9.071999800000001E-2</v>
      </c>
      <c r="Q88">
        <f t="shared" si="5"/>
        <v>-9.1509997999999995E-2</v>
      </c>
      <c r="R88">
        <f t="shared" si="6"/>
        <v>-8.9783333000000007E-2</v>
      </c>
      <c r="S88">
        <f t="shared" si="7"/>
        <v>-9.0723331000000004E-2</v>
      </c>
      <c r="T88" s="11">
        <f t="shared" si="8"/>
        <v>-9.6126665666666666E-2</v>
      </c>
      <c r="U88" s="10">
        <f t="shared" si="13"/>
        <v>-9.071999800000001E-2</v>
      </c>
      <c r="V88">
        <f t="shared" si="13"/>
        <v>-9.1488888666666657E-2</v>
      </c>
      <c r="W88">
        <f t="shared" si="13"/>
        <v>-8.9874443666666651E-2</v>
      </c>
      <c r="X88">
        <f t="shared" si="13"/>
        <v>-9.0727775777777783E-2</v>
      </c>
      <c r="Y88" s="11">
        <f t="shared" ref="Y88:Y97" si="15">AVERAGE(T86:T88)</f>
        <v>-9.6175554888888889E-2</v>
      </c>
    </row>
    <row r="89" spans="1:25" ht="15" thickBot="1" x14ac:dyDescent="0.35">
      <c r="A89" s="56">
        <v>45632</v>
      </c>
      <c r="B89">
        <v>-0.45197999500000002</v>
      </c>
      <c r="C89">
        <v>-8.9110001999999994E-2</v>
      </c>
      <c r="D89">
        <v>-0.45197999500000002</v>
      </c>
      <c r="E89">
        <v>-9.0719997999999996E-2</v>
      </c>
      <c r="F89">
        <v>-0.45197999500000002</v>
      </c>
      <c r="G89">
        <v>-9.1519997000000006E-2</v>
      </c>
      <c r="H89">
        <v>-0.45197999500000002</v>
      </c>
      <c r="I89">
        <v>-8.9720003000000006E-2</v>
      </c>
      <c r="J89">
        <v>-0.45197999500000002</v>
      </c>
      <c r="K89">
        <v>-9.0719997999999996E-2</v>
      </c>
      <c r="L89">
        <v>-0.45197999500000002</v>
      </c>
      <c r="M89" s="11">
        <v>-9.6309996999999994E-2</v>
      </c>
      <c r="O89">
        <f t="shared" si="12"/>
        <v>-0.45197999500000002</v>
      </c>
      <c r="P89" s="10">
        <f t="shared" si="4"/>
        <v>-9.071999800000001E-2</v>
      </c>
      <c r="Q89">
        <f t="shared" si="5"/>
        <v>-9.1516664000000011E-2</v>
      </c>
      <c r="R89">
        <f t="shared" si="6"/>
        <v>-8.971666766666668E-2</v>
      </c>
      <c r="S89">
        <f t="shared" si="7"/>
        <v>-9.071999800000001E-2</v>
      </c>
      <c r="T89" s="11">
        <f t="shared" si="8"/>
        <v>-9.6243331666666654E-2</v>
      </c>
      <c r="U89" s="10">
        <f t="shared" si="13"/>
        <v>-9.071999800000001E-2</v>
      </c>
      <c r="V89">
        <f t="shared" si="13"/>
        <v>-9.1506665111111107E-2</v>
      </c>
      <c r="W89">
        <f t="shared" si="13"/>
        <v>-8.9806666555555567E-2</v>
      </c>
      <c r="X89">
        <f t="shared" si="13"/>
        <v>-9.0723331000000004E-2</v>
      </c>
      <c r="Y89" s="11">
        <f t="shared" si="15"/>
        <v>-9.6177776666666659E-2</v>
      </c>
    </row>
    <row r="90" spans="1:25" ht="15" thickBot="1" x14ac:dyDescent="0.35">
      <c r="A90" s="56">
        <v>45632</v>
      </c>
      <c r="B90">
        <v>-0.40202999099999998</v>
      </c>
      <c r="C90">
        <v>-8.9110001999999994E-2</v>
      </c>
      <c r="D90">
        <v>-0.40202999099999998</v>
      </c>
      <c r="E90">
        <v>-9.0719997999999996E-2</v>
      </c>
      <c r="F90">
        <v>-0.40202999099999998</v>
      </c>
      <c r="G90">
        <v>-9.1119996999999994E-2</v>
      </c>
      <c r="H90">
        <v>-0.40202999099999998</v>
      </c>
      <c r="I90">
        <v>-8.9410000000000003E-2</v>
      </c>
      <c r="J90">
        <v>-0.40202999099999998</v>
      </c>
      <c r="K90">
        <v>-9.0719997999999996E-2</v>
      </c>
      <c r="L90">
        <v>-0.40202999099999998</v>
      </c>
      <c r="M90" s="11">
        <v>-9.6340000999999995E-2</v>
      </c>
      <c r="O90">
        <f>B90</f>
        <v>-0.40202999099999998</v>
      </c>
      <c r="P90" s="10">
        <f t="shared" si="4"/>
        <v>-9.071999800000001E-2</v>
      </c>
      <c r="Q90">
        <f t="shared" si="5"/>
        <v>-9.1386663666666659E-2</v>
      </c>
      <c r="R90">
        <f t="shared" si="6"/>
        <v>-8.9546667999999996E-2</v>
      </c>
      <c r="S90">
        <f t="shared" si="7"/>
        <v>-9.071999800000001E-2</v>
      </c>
      <c r="T90" s="11">
        <f t="shared" si="8"/>
        <v>-9.6303331333333339E-2</v>
      </c>
      <c r="U90" s="10">
        <f t="shared" si="13"/>
        <v>-9.071999800000001E-2</v>
      </c>
      <c r="V90">
        <f t="shared" si="13"/>
        <v>-9.1471108555555555E-2</v>
      </c>
      <c r="W90">
        <f t="shared" si="13"/>
        <v>-8.9682222888888899E-2</v>
      </c>
      <c r="X90">
        <f t="shared" si="13"/>
        <v>-9.0721109000000008E-2</v>
      </c>
      <c r="Y90" s="11">
        <f t="shared" si="15"/>
        <v>-9.6224442888888886E-2</v>
      </c>
    </row>
    <row r="91" spans="1:25" ht="15" thickBot="1" x14ac:dyDescent="0.35">
      <c r="A91" s="56">
        <v>45632</v>
      </c>
      <c r="B91">
        <v>-0.35207998800000001</v>
      </c>
      <c r="C91">
        <v>-8.9110001999999994E-2</v>
      </c>
      <c r="D91">
        <v>-0.35207998800000001</v>
      </c>
      <c r="E91">
        <v>-9.0719997999999996E-2</v>
      </c>
      <c r="F91">
        <v>-0.35207998800000001</v>
      </c>
      <c r="G91">
        <v>-9.0920001E-2</v>
      </c>
      <c r="H91">
        <v>-0.35207998800000001</v>
      </c>
      <c r="I91">
        <v>-8.9670001999999999E-2</v>
      </c>
      <c r="J91">
        <v>-0.35207998800000001</v>
      </c>
      <c r="K91">
        <v>-9.0719997999999996E-2</v>
      </c>
      <c r="L91">
        <v>-0.35207998800000001</v>
      </c>
      <c r="M91" s="11">
        <v>-9.6349999000000006E-2</v>
      </c>
      <c r="O91">
        <f t="shared" si="12"/>
        <v>-0.35207998800000001</v>
      </c>
      <c r="P91" s="10">
        <f t="shared" ref="P91:P96" si="16">AVERAGE(E89:E91)</f>
        <v>-9.071999800000001E-2</v>
      </c>
      <c r="Q91">
        <f t="shared" ref="Q91:Q96" si="17">AVERAGE(G89:G91)</f>
        <v>-9.1186665E-2</v>
      </c>
      <c r="R91">
        <f>AVERAGE(I89:I91)</f>
        <v>-8.9600001666666665E-2</v>
      </c>
      <c r="S91">
        <f>AVERAGE(K89:K91)</f>
        <v>-9.071999800000001E-2</v>
      </c>
      <c r="T91" s="11">
        <f>AVERAGE(M89:M91)</f>
        <v>-9.6333332333333341E-2</v>
      </c>
      <c r="U91" s="10">
        <f t="shared" si="13"/>
        <v>-9.071999800000001E-2</v>
      </c>
      <c r="V91">
        <f t="shared" si="13"/>
        <v>-9.1363330888888886E-2</v>
      </c>
      <c r="W91">
        <f t="shared" si="13"/>
        <v>-8.9621112444444442E-2</v>
      </c>
      <c r="X91">
        <f t="shared" si="13"/>
        <v>-9.071999800000001E-2</v>
      </c>
      <c r="Y91" s="11">
        <f t="shared" si="15"/>
        <v>-9.6293331777777783E-2</v>
      </c>
    </row>
    <row r="92" spans="1:25" ht="15" thickBot="1" x14ac:dyDescent="0.35">
      <c r="A92" s="56">
        <v>45632</v>
      </c>
      <c r="B92">
        <v>-0.30212</v>
      </c>
      <c r="C92">
        <v>-8.9110001999999994E-2</v>
      </c>
      <c r="D92">
        <v>-0.30212</v>
      </c>
      <c r="E92">
        <v>-9.0719997999999996E-2</v>
      </c>
      <c r="F92">
        <v>-0.30212</v>
      </c>
      <c r="G92">
        <v>-9.1229998000000007E-2</v>
      </c>
      <c r="H92">
        <v>-0.30212</v>
      </c>
      <c r="I92">
        <v>-8.9790001999999994E-2</v>
      </c>
      <c r="J92">
        <v>-0.30212</v>
      </c>
      <c r="K92">
        <v>-9.0719997999999996E-2</v>
      </c>
      <c r="L92">
        <v>-0.30212</v>
      </c>
      <c r="M92" s="11">
        <v>-9.5949999999999994E-2</v>
      </c>
      <c r="O92">
        <f t="shared" si="12"/>
        <v>-0.30212</v>
      </c>
      <c r="P92" s="10">
        <f t="shared" si="16"/>
        <v>-9.071999800000001E-2</v>
      </c>
      <c r="Q92">
        <f t="shared" si="17"/>
        <v>-9.1089998666666672E-2</v>
      </c>
      <c r="R92">
        <f>AVERAGE(I90:I92)</f>
        <v>-8.9623334666666665E-2</v>
      </c>
      <c r="S92">
        <f>AVERAGE(K90:K92)</f>
        <v>-9.071999800000001E-2</v>
      </c>
      <c r="T92" s="11">
        <f>AVERAGE(M90:M92)</f>
        <v>-9.6213333333333331E-2</v>
      </c>
      <c r="U92" s="10">
        <f t="shared" si="13"/>
        <v>-9.071999800000001E-2</v>
      </c>
      <c r="V92">
        <f t="shared" si="13"/>
        <v>-9.1221109111111101E-2</v>
      </c>
      <c r="W92">
        <f t="shared" si="13"/>
        <v>-8.9590001444444442E-2</v>
      </c>
      <c r="X92">
        <f t="shared" si="13"/>
        <v>-9.071999800000001E-2</v>
      </c>
      <c r="Y92" s="11">
        <f t="shared" si="15"/>
        <v>-9.6283332333333346E-2</v>
      </c>
    </row>
    <row r="93" spans="1:25" ht="15" thickBot="1" x14ac:dyDescent="0.35">
      <c r="A93" s="56">
        <v>45632</v>
      </c>
      <c r="B93">
        <v>-0.25216999699999998</v>
      </c>
      <c r="C93">
        <v>-8.9110001999999994E-2</v>
      </c>
      <c r="D93">
        <v>-0.25216999699999998</v>
      </c>
      <c r="E93">
        <v>-9.0719997999999996E-2</v>
      </c>
      <c r="F93">
        <v>-0.25216999699999998</v>
      </c>
      <c r="G93">
        <v>-9.1380000000000003E-2</v>
      </c>
      <c r="H93">
        <v>-0.25216999699999998</v>
      </c>
      <c r="I93">
        <v>-8.9850000999999999E-2</v>
      </c>
      <c r="J93">
        <v>-0.25216999699999998</v>
      </c>
      <c r="K93">
        <v>-9.0719997999999996E-2</v>
      </c>
      <c r="L93">
        <v>-0.25216999699999998</v>
      </c>
      <c r="M93" s="11">
        <v>-9.6160001999999994E-2</v>
      </c>
      <c r="O93">
        <f t="shared" ref="O93:O97" si="18">B93</f>
        <v>-0.25216999699999998</v>
      </c>
      <c r="P93" s="10">
        <f t="shared" si="16"/>
        <v>-9.071999800000001E-2</v>
      </c>
      <c r="Q93">
        <f t="shared" si="17"/>
        <v>-9.1176666333333337E-2</v>
      </c>
      <c r="R93">
        <f>AVERAGE(I91:I93)</f>
        <v>-8.9770001666666668E-2</v>
      </c>
      <c r="S93">
        <f>AVERAGE(K91:K93)</f>
        <v>-9.071999800000001E-2</v>
      </c>
      <c r="T93" s="11">
        <f>AVERAGE(M91:M93)</f>
        <v>-9.6153333666666674E-2</v>
      </c>
      <c r="U93" s="10">
        <f t="shared" ref="U93:X97" si="19">AVERAGE(P91:P93)</f>
        <v>-9.071999800000001E-2</v>
      </c>
      <c r="V93">
        <f t="shared" si="19"/>
        <v>-9.1151109999999994E-2</v>
      </c>
      <c r="W93">
        <f t="shared" si="19"/>
        <v>-8.9664445999999995E-2</v>
      </c>
      <c r="X93">
        <f t="shared" si="19"/>
        <v>-9.071999800000001E-2</v>
      </c>
      <c r="Y93" s="11">
        <f t="shared" si="15"/>
        <v>-9.6233333111111111E-2</v>
      </c>
    </row>
    <row r="94" spans="1:25" ht="15" thickBot="1" x14ac:dyDescent="0.35">
      <c r="A94" s="56">
        <v>45632</v>
      </c>
      <c r="B94">
        <v>-0.20221999299999999</v>
      </c>
      <c r="C94">
        <v>-8.8710002999999996E-2</v>
      </c>
      <c r="D94">
        <v>-0.20221999299999999</v>
      </c>
      <c r="E94">
        <v>-9.0719997999999996E-2</v>
      </c>
      <c r="F94">
        <v>-0.20221999299999999</v>
      </c>
      <c r="G94">
        <v>-9.1449998000000005E-2</v>
      </c>
      <c r="H94">
        <v>-0.20221999299999999</v>
      </c>
      <c r="I94">
        <v>-8.9890002999999996E-2</v>
      </c>
      <c r="J94">
        <v>-0.20221999299999999</v>
      </c>
      <c r="K94">
        <v>-9.0719997999999996E-2</v>
      </c>
      <c r="L94">
        <v>-0.20221999299999999</v>
      </c>
      <c r="M94" s="11">
        <v>-9.6259996E-2</v>
      </c>
      <c r="O94">
        <f t="shared" si="18"/>
        <v>-0.20221999299999999</v>
      </c>
      <c r="P94" s="10">
        <f t="shared" si="16"/>
        <v>-9.071999800000001E-2</v>
      </c>
      <c r="Q94">
        <f t="shared" si="17"/>
        <v>-9.1353331999999995E-2</v>
      </c>
      <c r="R94">
        <f>AVERAGE(I92:I94)</f>
        <v>-8.984333533333333E-2</v>
      </c>
      <c r="S94">
        <f>AVERAGE(K92:K94)</f>
        <v>-9.071999800000001E-2</v>
      </c>
      <c r="T94" s="11">
        <f>AVERAGE(M92:M94)</f>
        <v>-9.6123332666666672E-2</v>
      </c>
      <c r="U94" s="10">
        <f t="shared" si="19"/>
        <v>-9.071999800000001E-2</v>
      </c>
      <c r="V94">
        <f t="shared" si="19"/>
        <v>-9.1206665666666673E-2</v>
      </c>
      <c r="W94">
        <f t="shared" si="19"/>
        <v>-8.9745557222222216E-2</v>
      </c>
      <c r="X94">
        <f t="shared" si="19"/>
        <v>-9.071999800000001E-2</v>
      </c>
      <c r="Y94" s="11">
        <f t="shared" si="15"/>
        <v>-9.6163333222222216E-2</v>
      </c>
    </row>
    <row r="95" spans="1:25" ht="15" thickBot="1" x14ac:dyDescent="0.35">
      <c r="A95" s="56">
        <v>45632</v>
      </c>
      <c r="B95">
        <v>-0.15227000399999999</v>
      </c>
      <c r="C95">
        <v>-8.8100000999999997E-2</v>
      </c>
      <c r="D95">
        <v>-0.15227000399999999</v>
      </c>
      <c r="E95">
        <v>-9.0719997999999996E-2</v>
      </c>
      <c r="F95">
        <v>-0.15227000399999999</v>
      </c>
      <c r="G95">
        <v>-9.1490000000000002E-2</v>
      </c>
      <c r="H95">
        <v>-0.15227000399999999</v>
      </c>
      <c r="I95">
        <v>-8.8289997999999995E-2</v>
      </c>
      <c r="J95">
        <v>-0.15227000399999999</v>
      </c>
      <c r="K95">
        <v>-8.8710002999999996E-2</v>
      </c>
      <c r="L95">
        <v>-0.15227000399999999</v>
      </c>
      <c r="M95" s="11">
        <v>-9.5909997999999996E-2</v>
      </c>
      <c r="O95">
        <f t="shared" si="18"/>
        <v>-0.15227000399999999</v>
      </c>
      <c r="P95" s="10">
        <f t="shared" si="16"/>
        <v>-9.071999800000001E-2</v>
      </c>
      <c r="Q95">
        <f t="shared" si="17"/>
        <v>-9.1439999333333341E-2</v>
      </c>
      <c r="R95">
        <f>AVERAGE(I93:I95)</f>
        <v>-8.9343333999999996E-2</v>
      </c>
      <c r="S95">
        <f>AVERAGE(K93:K95)</f>
        <v>-9.0049999666666658E-2</v>
      </c>
      <c r="T95" s="11">
        <f>AVERAGE(M93:M95)</f>
        <v>-9.6109998666666654E-2</v>
      </c>
      <c r="U95" s="10">
        <f t="shared" si="19"/>
        <v>-9.071999800000001E-2</v>
      </c>
      <c r="V95">
        <f t="shared" si="19"/>
        <v>-9.1323332555555567E-2</v>
      </c>
      <c r="W95">
        <f t="shared" si="19"/>
        <v>-8.9652223666666656E-2</v>
      </c>
      <c r="X95">
        <f t="shared" si="19"/>
        <v>-9.0496665222222217E-2</v>
      </c>
      <c r="Y95" s="11">
        <f t="shared" si="15"/>
        <v>-9.6128888333333329E-2</v>
      </c>
    </row>
    <row r="96" spans="1:25" ht="15" thickBot="1" x14ac:dyDescent="0.35">
      <c r="A96" s="56">
        <v>45632</v>
      </c>
      <c r="B96">
        <v>-0.10232000099999999</v>
      </c>
      <c r="C96">
        <v>-8.7399996999999993E-2</v>
      </c>
      <c r="D96">
        <v>-0.10232000099999999</v>
      </c>
      <c r="E96">
        <v>-8.9510001000000006E-2</v>
      </c>
      <c r="F96">
        <v>-0.10232000099999999</v>
      </c>
      <c r="G96">
        <v>-8.9500002999999995E-2</v>
      </c>
      <c r="H96">
        <v>-0.10232000099999999</v>
      </c>
      <c r="I96">
        <v>-8.7090001E-2</v>
      </c>
      <c r="J96">
        <v>-0.10232000099999999</v>
      </c>
      <c r="K96">
        <v>-8.6489997999999998E-2</v>
      </c>
      <c r="L96">
        <v>-0.10232000099999999</v>
      </c>
      <c r="M96" s="11">
        <v>-9.2110000999999997E-2</v>
      </c>
      <c r="O96">
        <f t="shared" si="18"/>
        <v>-0.10232000099999999</v>
      </c>
      <c r="P96" s="10">
        <f t="shared" si="16"/>
        <v>-9.0316665666666671E-2</v>
      </c>
      <c r="Q96">
        <f t="shared" si="17"/>
        <v>-9.0813333666666662E-2</v>
      </c>
      <c r="R96">
        <f t="shared" ref="R96:R98" si="20">AVERAGE(I94:I96)</f>
        <v>-8.8423333999999978E-2</v>
      </c>
      <c r="S96">
        <f t="shared" ref="S96:S98" si="21">AVERAGE(K94:K96)</f>
        <v>-8.8639999666666677E-2</v>
      </c>
      <c r="T96" s="11">
        <f t="shared" ref="T96:T98" si="22">AVERAGE(M94:M96)</f>
        <v>-9.4759998333333331E-2</v>
      </c>
      <c r="U96" s="10">
        <f t="shared" si="19"/>
        <v>-9.0585553888888892E-2</v>
      </c>
      <c r="V96">
        <f t="shared" si="19"/>
        <v>-9.1202221666666652E-2</v>
      </c>
      <c r="W96">
        <f t="shared" si="19"/>
        <v>-8.9203334444444435E-2</v>
      </c>
      <c r="X96">
        <f t="shared" si="19"/>
        <v>-8.9803332444444453E-2</v>
      </c>
      <c r="Y96" s="11">
        <f t="shared" si="15"/>
        <v>-9.5664443222222215E-2</v>
      </c>
    </row>
    <row r="97" spans="1:25" ht="15" thickBot="1" x14ac:dyDescent="0.35">
      <c r="A97" s="56">
        <v>45632</v>
      </c>
      <c r="B97">
        <v>-5.2370000999999999E-2</v>
      </c>
      <c r="C97">
        <v>-8.7049998000000003E-2</v>
      </c>
      <c r="D97">
        <v>-5.2370000999999999E-2</v>
      </c>
      <c r="E97">
        <v>-8.8100000999999997E-2</v>
      </c>
      <c r="F97">
        <v>-5.2370000999999999E-2</v>
      </c>
      <c r="G97">
        <v>-8.7690003000000002E-2</v>
      </c>
      <c r="H97">
        <v>-5.2370000999999999E-2</v>
      </c>
      <c r="I97">
        <v>-8.6089998000000001E-2</v>
      </c>
      <c r="J97">
        <v>-5.2370000999999999E-2</v>
      </c>
      <c r="K97">
        <v>-8.4980003999999998E-2</v>
      </c>
      <c r="L97">
        <v>-5.2370000999999999E-2</v>
      </c>
      <c r="M97" s="11">
        <v>-8.8600001999999997E-2</v>
      </c>
      <c r="O97">
        <f t="shared" si="18"/>
        <v>-5.2370000999999999E-2</v>
      </c>
      <c r="P97" s="10">
        <f t="shared" ref="P97:P98" si="23">AVERAGE(E95:E97)</f>
        <v>-8.9443333333333333E-2</v>
      </c>
      <c r="Q97">
        <f t="shared" ref="Q97:Q98" si="24">AVERAGE(G95:G97)</f>
        <v>-8.9560002000000014E-2</v>
      </c>
      <c r="R97">
        <f t="shared" si="20"/>
        <v>-8.7156665666666674E-2</v>
      </c>
      <c r="S97">
        <f t="shared" si="21"/>
        <v>-8.6726668333333326E-2</v>
      </c>
      <c r="T97" s="11">
        <f t="shared" si="22"/>
        <v>-9.2206667000000006E-2</v>
      </c>
      <c r="U97" s="10">
        <f t="shared" si="19"/>
        <v>-9.0159999000000005E-2</v>
      </c>
      <c r="V97">
        <f t="shared" si="19"/>
        <v>-9.060444500000002E-2</v>
      </c>
      <c r="W97">
        <f t="shared" si="19"/>
        <v>-8.8307777888888883E-2</v>
      </c>
      <c r="X97">
        <f t="shared" si="19"/>
        <v>-8.8472222555555549E-2</v>
      </c>
      <c r="Y97" s="11">
        <f t="shared" si="15"/>
        <v>-9.4358887999999988E-2</v>
      </c>
    </row>
    <row r="98" spans="1:25" ht="15" thickBot="1" x14ac:dyDescent="0.35">
      <c r="A98" s="56">
        <v>45632</v>
      </c>
      <c r="B98" s="13">
        <v>-2.4199999999999998E-3</v>
      </c>
      <c r="C98" s="13">
        <v>-8.6470000000000005E-2</v>
      </c>
      <c r="D98" s="13">
        <v>-2.4199999999999998E-3</v>
      </c>
      <c r="E98" s="13">
        <v>-8.7399996999999993E-2</v>
      </c>
      <c r="F98" s="13">
        <v>-2.4199999999999998E-3</v>
      </c>
      <c r="G98" s="13">
        <v>-8.6390004000000006E-2</v>
      </c>
      <c r="H98" s="13">
        <v>-2.4199999999999998E-3</v>
      </c>
      <c r="I98" s="13">
        <v>-8.5579999000000004E-2</v>
      </c>
      <c r="J98" s="13">
        <v>-2.4199999999999998E-3</v>
      </c>
      <c r="K98" s="13">
        <v>-8.3820000000000006E-2</v>
      </c>
      <c r="L98" s="13">
        <v>-2.4199999999999998E-3</v>
      </c>
      <c r="M98" s="14">
        <v>-8.5629999999999998E-2</v>
      </c>
      <c r="N98" s="13"/>
      <c r="O98">
        <f>O24</f>
        <v>-2.4199999999999998E-3</v>
      </c>
      <c r="P98" s="10">
        <f t="shared" si="23"/>
        <v>-8.8336666333333327E-2</v>
      </c>
      <c r="Q98">
        <f t="shared" si="24"/>
        <v>-8.7860003333333339E-2</v>
      </c>
      <c r="R98">
        <f t="shared" si="20"/>
        <v>-8.6253332666666668E-2</v>
      </c>
      <c r="S98">
        <f t="shared" si="21"/>
        <v>-8.5096667333333334E-2</v>
      </c>
      <c r="T98" s="11">
        <f t="shared" si="22"/>
        <v>-8.8780000999999997E-2</v>
      </c>
      <c r="U98" s="10">
        <f>U24</f>
        <v>-8.8019997000000003E-2</v>
      </c>
      <c r="V98" s="10">
        <f t="shared" ref="V98:Y98" si="25">V24</f>
        <v>-8.6390004000000006E-2</v>
      </c>
      <c r="W98" s="10">
        <f t="shared" si="25"/>
        <v>-8.5589997000000001E-2</v>
      </c>
      <c r="X98" s="10">
        <f t="shared" si="25"/>
        <v>-8.3820000000000006E-2</v>
      </c>
      <c r="Y98" s="10">
        <f t="shared" si="25"/>
        <v>-8.6070000999999993E-2</v>
      </c>
    </row>
    <row r="99" spans="1:25" x14ac:dyDescent="0.3">
      <c r="E99" s="19"/>
      <c r="G99" s="20"/>
      <c r="H99" s="20"/>
    </row>
    <row r="100" spans="1:25" x14ac:dyDescent="0.3">
      <c r="E100" s="19"/>
      <c r="G100" s="20"/>
      <c r="H100" s="20"/>
    </row>
    <row r="101" spans="1:25" x14ac:dyDescent="0.3">
      <c r="E101" s="19"/>
      <c r="G101" s="20"/>
      <c r="H101" s="20"/>
    </row>
    <row r="102" spans="1:25" x14ac:dyDescent="0.3">
      <c r="E102" s="19"/>
      <c r="G102" s="20"/>
      <c r="H102" s="20"/>
    </row>
    <row r="103" spans="1:25" x14ac:dyDescent="0.3">
      <c r="E103" s="19"/>
      <c r="G103" s="20"/>
      <c r="H103" s="20"/>
    </row>
    <row r="104" spans="1:25" x14ac:dyDescent="0.3">
      <c r="E104" s="19"/>
      <c r="G104" s="20"/>
      <c r="H104" s="20"/>
    </row>
    <row r="105" spans="1:25" x14ac:dyDescent="0.3">
      <c r="E105" s="19"/>
      <c r="G105" s="20"/>
      <c r="H105" s="20"/>
    </row>
    <row r="106" spans="1:25" x14ac:dyDescent="0.3">
      <c r="E106" s="19"/>
      <c r="G106" s="20"/>
      <c r="H106" s="20"/>
    </row>
    <row r="107" spans="1:25" x14ac:dyDescent="0.3">
      <c r="E107" s="19"/>
      <c r="G107" s="20"/>
      <c r="H107" s="20"/>
    </row>
    <row r="108" spans="1:25" x14ac:dyDescent="0.3">
      <c r="E108" s="19"/>
      <c r="G108" s="20"/>
      <c r="H108" s="20"/>
    </row>
    <row r="109" spans="1:25" x14ac:dyDescent="0.3">
      <c r="E109" s="19"/>
      <c r="G109" s="20"/>
      <c r="H109" s="20"/>
    </row>
    <row r="110" spans="1:25" x14ac:dyDescent="0.3">
      <c r="E110" s="19"/>
      <c r="G110" s="20"/>
      <c r="H110" s="20"/>
    </row>
    <row r="111" spans="1:25" x14ac:dyDescent="0.3">
      <c r="E111" s="19"/>
      <c r="G111" s="20"/>
      <c r="H111" s="20"/>
    </row>
    <row r="112" spans="1:25" x14ac:dyDescent="0.3">
      <c r="E112" s="19"/>
      <c r="G112" s="20"/>
      <c r="H112" s="20"/>
    </row>
    <row r="113" spans="5:8" x14ac:dyDescent="0.3">
      <c r="E113" s="19"/>
      <c r="G113" s="20"/>
      <c r="H113" s="20"/>
    </row>
    <row r="114" spans="5:8" x14ac:dyDescent="0.3">
      <c r="E114" s="19"/>
      <c r="G114" s="20"/>
      <c r="H114" s="20"/>
    </row>
    <row r="115" spans="5:8" x14ac:dyDescent="0.3">
      <c r="E115" s="19"/>
      <c r="G115" s="20"/>
      <c r="H115" s="20"/>
    </row>
    <row r="116" spans="5:8" x14ac:dyDescent="0.3">
      <c r="E116" s="19"/>
      <c r="G116" s="20"/>
      <c r="H116" s="20"/>
    </row>
    <row r="117" spans="5:8" x14ac:dyDescent="0.3">
      <c r="E117" s="19"/>
      <c r="G117" s="20"/>
      <c r="H117" s="20"/>
    </row>
    <row r="118" spans="5:8" x14ac:dyDescent="0.3">
      <c r="E118" s="19"/>
      <c r="G118" s="20"/>
      <c r="H118" s="20"/>
    </row>
    <row r="119" spans="5:8" x14ac:dyDescent="0.3">
      <c r="E119" s="19"/>
      <c r="G119" s="20"/>
      <c r="H119" s="20"/>
    </row>
    <row r="120" spans="5:8" x14ac:dyDescent="0.3">
      <c r="E120" s="19"/>
      <c r="G120" s="20"/>
      <c r="H120" s="20"/>
    </row>
    <row r="121" spans="5:8" x14ac:dyDescent="0.3">
      <c r="E121" s="19"/>
      <c r="G121" s="20"/>
      <c r="H121" s="20"/>
    </row>
    <row r="122" spans="5:8" x14ac:dyDescent="0.3">
      <c r="E122" s="19"/>
      <c r="G122" s="20"/>
      <c r="H122" s="20"/>
    </row>
    <row r="123" spans="5:8" x14ac:dyDescent="0.3">
      <c r="E123" s="19"/>
      <c r="G123" s="20"/>
      <c r="H123" s="20"/>
    </row>
    <row r="124" spans="5:8" x14ac:dyDescent="0.3">
      <c r="E124" s="19"/>
      <c r="G124" s="20"/>
      <c r="H124" s="20"/>
    </row>
    <row r="125" spans="5:8" x14ac:dyDescent="0.3">
      <c r="E125" s="19"/>
      <c r="G125" s="20"/>
      <c r="H125" s="20"/>
    </row>
    <row r="126" spans="5:8" x14ac:dyDescent="0.3">
      <c r="E126" s="19"/>
      <c r="G126" s="20"/>
      <c r="H126" s="20"/>
    </row>
    <row r="127" spans="5:8" x14ac:dyDescent="0.3">
      <c r="E127" s="19"/>
      <c r="G127" s="20"/>
      <c r="H127" s="20"/>
    </row>
    <row r="128" spans="5:8" x14ac:dyDescent="0.3">
      <c r="E128" s="19"/>
      <c r="G128" s="20"/>
      <c r="H128" s="20"/>
    </row>
    <row r="129" spans="5:8" x14ac:dyDescent="0.3">
      <c r="E129" s="19"/>
      <c r="G129" s="20"/>
      <c r="H129" s="20"/>
    </row>
    <row r="130" spans="5:8" x14ac:dyDescent="0.3">
      <c r="E130" s="19"/>
      <c r="G130" s="20"/>
      <c r="H130" s="20"/>
    </row>
    <row r="131" spans="5:8" x14ac:dyDescent="0.3">
      <c r="E131" s="19"/>
      <c r="G131" s="20"/>
      <c r="H131" s="20"/>
    </row>
    <row r="132" spans="5:8" x14ac:dyDescent="0.3">
      <c r="E132" s="19"/>
      <c r="G132" s="20"/>
      <c r="H132" s="20"/>
    </row>
    <row r="133" spans="5:8" x14ac:dyDescent="0.3">
      <c r="E133" s="19"/>
      <c r="G133" s="20"/>
      <c r="H133" s="20"/>
    </row>
    <row r="134" spans="5:8" x14ac:dyDescent="0.3">
      <c r="E134" s="19"/>
      <c r="G134" s="20"/>
      <c r="H134" s="20"/>
    </row>
    <row r="135" spans="5:8" x14ac:dyDescent="0.3">
      <c r="E135" s="19"/>
      <c r="G135" s="20"/>
      <c r="H135" s="20"/>
    </row>
    <row r="136" spans="5:8" x14ac:dyDescent="0.3">
      <c r="E136" s="19"/>
      <c r="G136" s="20"/>
      <c r="H136" s="20"/>
    </row>
    <row r="137" spans="5:8" x14ac:dyDescent="0.3">
      <c r="E137" s="19"/>
      <c r="G137" s="20"/>
      <c r="H137" s="20"/>
    </row>
    <row r="138" spans="5:8" x14ac:dyDescent="0.3">
      <c r="E138" s="19"/>
      <c r="G138" s="20"/>
      <c r="H138" s="20"/>
    </row>
    <row r="139" spans="5:8" x14ac:dyDescent="0.3">
      <c r="E139" s="19"/>
      <c r="G139" s="20"/>
      <c r="H139" s="20"/>
    </row>
    <row r="140" spans="5:8" x14ac:dyDescent="0.3">
      <c r="E140" s="19"/>
      <c r="G140" s="20"/>
      <c r="H140" s="20"/>
    </row>
    <row r="141" spans="5:8" x14ac:dyDescent="0.3">
      <c r="E141" s="19"/>
      <c r="G141" s="20"/>
      <c r="H141" s="20"/>
    </row>
    <row r="142" spans="5:8" x14ac:dyDescent="0.3">
      <c r="E142" s="19"/>
      <c r="G142" s="20"/>
      <c r="H142" s="20"/>
    </row>
    <row r="143" spans="5:8" x14ac:dyDescent="0.3">
      <c r="E143" s="19"/>
      <c r="G143" s="20"/>
      <c r="H143" s="20"/>
    </row>
    <row r="144" spans="5:8" x14ac:dyDescent="0.3">
      <c r="E144" s="19"/>
      <c r="G144" s="20"/>
      <c r="H144" s="20"/>
    </row>
    <row r="145" spans="5:8" x14ac:dyDescent="0.3">
      <c r="E145" s="19"/>
      <c r="G145" s="20"/>
      <c r="H145" s="20"/>
    </row>
    <row r="146" spans="5:8" x14ac:dyDescent="0.3">
      <c r="E146" s="19"/>
      <c r="G146" s="20"/>
      <c r="H146" s="20"/>
    </row>
    <row r="147" spans="5:8" x14ac:dyDescent="0.3">
      <c r="E147" s="19"/>
      <c r="G147" s="20"/>
      <c r="H147" s="20"/>
    </row>
    <row r="148" spans="5:8" x14ac:dyDescent="0.3">
      <c r="E148" s="19"/>
      <c r="G148" s="20"/>
      <c r="H148" s="20"/>
    </row>
    <row r="149" spans="5:8" x14ac:dyDescent="0.3">
      <c r="E149" s="19"/>
      <c r="G149" s="20"/>
      <c r="H149" s="20"/>
    </row>
    <row r="150" spans="5:8" x14ac:dyDescent="0.3">
      <c r="E150" s="19"/>
      <c r="G150" s="20"/>
      <c r="H150" s="20"/>
    </row>
    <row r="151" spans="5:8" x14ac:dyDescent="0.3">
      <c r="E151" s="19"/>
      <c r="G151" s="20"/>
      <c r="H151" s="20"/>
    </row>
    <row r="152" spans="5:8" x14ac:dyDescent="0.3">
      <c r="E152" s="19"/>
      <c r="G152" s="20"/>
      <c r="H152" s="20"/>
    </row>
    <row r="153" spans="5:8" x14ac:dyDescent="0.3">
      <c r="E153" s="19"/>
      <c r="G153" s="20"/>
      <c r="H153" s="20"/>
    </row>
    <row r="154" spans="5:8" x14ac:dyDescent="0.3">
      <c r="E154" s="19"/>
      <c r="G154" s="20"/>
      <c r="H154" s="20"/>
    </row>
    <row r="155" spans="5:8" x14ac:dyDescent="0.3">
      <c r="E155" s="19"/>
      <c r="G155" s="20"/>
      <c r="H155" s="20"/>
    </row>
    <row r="156" spans="5:8" x14ac:dyDescent="0.3">
      <c r="E156" s="19"/>
      <c r="G156" s="20"/>
      <c r="H156" s="20"/>
    </row>
    <row r="157" spans="5:8" x14ac:dyDescent="0.3">
      <c r="E157" s="19"/>
      <c r="G157" s="20"/>
      <c r="H157" s="20"/>
    </row>
    <row r="158" spans="5:8" x14ac:dyDescent="0.3">
      <c r="E158" s="19"/>
      <c r="G158" s="20"/>
      <c r="H158" s="20"/>
    </row>
    <row r="159" spans="5:8" x14ac:dyDescent="0.3">
      <c r="E159" s="19"/>
      <c r="G159" s="20"/>
      <c r="H159" s="20"/>
    </row>
    <row r="160" spans="5:8" x14ac:dyDescent="0.3">
      <c r="E160" s="19"/>
      <c r="G160" s="20"/>
      <c r="H160" s="20"/>
    </row>
    <row r="161" spans="5:8" x14ac:dyDescent="0.3">
      <c r="E161" s="19"/>
      <c r="G161" s="20"/>
      <c r="H161" s="20"/>
    </row>
    <row r="162" spans="5:8" x14ac:dyDescent="0.3">
      <c r="E162" s="19"/>
      <c r="G162" s="20"/>
      <c r="H162" s="20"/>
    </row>
    <row r="163" spans="5:8" x14ac:dyDescent="0.3">
      <c r="E163" s="19"/>
      <c r="G163" s="20"/>
      <c r="H163" s="20"/>
    </row>
    <row r="164" spans="5:8" x14ac:dyDescent="0.3">
      <c r="E164" s="19"/>
      <c r="G164" s="20"/>
      <c r="H164" s="20"/>
    </row>
    <row r="165" spans="5:8" x14ac:dyDescent="0.3">
      <c r="E165" s="19"/>
      <c r="G165" s="20"/>
      <c r="H165" s="20"/>
    </row>
    <row r="166" spans="5:8" x14ac:dyDescent="0.3">
      <c r="E166" s="19"/>
      <c r="G166" s="20"/>
      <c r="H166" s="20"/>
    </row>
    <row r="167" spans="5:8" x14ac:dyDescent="0.3">
      <c r="E167" s="19"/>
      <c r="G167" s="20"/>
      <c r="H167" s="20"/>
    </row>
    <row r="168" spans="5:8" x14ac:dyDescent="0.3">
      <c r="E168" s="19"/>
      <c r="G168" s="20"/>
      <c r="H168" s="20"/>
    </row>
    <row r="169" spans="5:8" x14ac:dyDescent="0.3">
      <c r="E169" s="19"/>
      <c r="G169" s="20"/>
      <c r="H169" s="20"/>
    </row>
    <row r="170" spans="5:8" x14ac:dyDescent="0.3">
      <c r="E170" s="19"/>
      <c r="G170" s="20"/>
      <c r="H170" s="20"/>
    </row>
    <row r="171" spans="5:8" x14ac:dyDescent="0.3">
      <c r="E171" s="19"/>
      <c r="G171" s="20"/>
      <c r="H171" s="20"/>
    </row>
    <row r="172" spans="5:8" x14ac:dyDescent="0.3">
      <c r="E172" s="19"/>
      <c r="G172" s="20"/>
      <c r="H172" s="20"/>
    </row>
    <row r="173" spans="5:8" x14ac:dyDescent="0.3">
      <c r="E173" s="19"/>
      <c r="G173" s="20"/>
      <c r="H173" s="20"/>
    </row>
    <row r="174" spans="5:8" x14ac:dyDescent="0.3">
      <c r="E174" s="19"/>
      <c r="G174" s="20"/>
      <c r="H174" s="20"/>
    </row>
    <row r="175" spans="5:8" x14ac:dyDescent="0.3">
      <c r="E175" s="19"/>
      <c r="G175" s="20"/>
      <c r="H175" s="20"/>
    </row>
    <row r="176" spans="5:8" x14ac:dyDescent="0.3">
      <c r="E176" s="19"/>
      <c r="G176" s="20"/>
      <c r="H176" s="20"/>
    </row>
    <row r="177" spans="5:8" x14ac:dyDescent="0.3">
      <c r="E177" s="19"/>
      <c r="G177" s="20"/>
      <c r="H177" s="20"/>
    </row>
    <row r="178" spans="5:8" x14ac:dyDescent="0.3">
      <c r="E178" s="19"/>
      <c r="G178" s="20"/>
      <c r="H178" s="20"/>
    </row>
    <row r="179" spans="5:8" x14ac:dyDescent="0.3">
      <c r="E179" s="19"/>
      <c r="G179" s="20"/>
      <c r="H179" s="20"/>
    </row>
    <row r="180" spans="5:8" x14ac:dyDescent="0.3">
      <c r="E180" s="19"/>
      <c r="G180" s="20"/>
      <c r="H180" s="20"/>
    </row>
    <row r="181" spans="5:8" x14ac:dyDescent="0.3">
      <c r="E181" s="19"/>
      <c r="G181" s="20"/>
      <c r="H181" s="20"/>
    </row>
    <row r="182" spans="5:8" x14ac:dyDescent="0.3">
      <c r="E182" s="19"/>
      <c r="G182" s="20"/>
      <c r="H182" s="20"/>
    </row>
    <row r="183" spans="5:8" x14ac:dyDescent="0.3">
      <c r="E183" s="19"/>
      <c r="G183" s="20"/>
      <c r="H183" s="20"/>
    </row>
    <row r="184" spans="5:8" x14ac:dyDescent="0.3">
      <c r="E184" s="19"/>
      <c r="G184" s="20"/>
      <c r="H184" s="20"/>
    </row>
    <row r="185" spans="5:8" x14ac:dyDescent="0.3">
      <c r="E185" s="19"/>
      <c r="G185" s="20"/>
      <c r="H185" s="20"/>
    </row>
    <row r="186" spans="5:8" x14ac:dyDescent="0.3">
      <c r="E186" s="19"/>
      <c r="G186" s="20"/>
      <c r="H186" s="20"/>
    </row>
    <row r="187" spans="5:8" x14ac:dyDescent="0.3">
      <c r="E187" s="19"/>
      <c r="G187" s="20"/>
      <c r="H187" s="20"/>
    </row>
    <row r="188" spans="5:8" x14ac:dyDescent="0.3">
      <c r="E188" s="19"/>
      <c r="G188" s="20"/>
      <c r="H188" s="20"/>
    </row>
    <row r="189" spans="5:8" x14ac:dyDescent="0.3">
      <c r="E189" s="19"/>
      <c r="G189" s="20"/>
      <c r="H189" s="20"/>
    </row>
    <row r="190" spans="5:8" x14ac:dyDescent="0.3">
      <c r="E190" s="19"/>
      <c r="G190" s="20"/>
      <c r="H190" s="20"/>
    </row>
    <row r="191" spans="5:8" x14ac:dyDescent="0.3">
      <c r="E191" s="19"/>
      <c r="G191" s="20"/>
      <c r="H191" s="20"/>
    </row>
    <row r="192" spans="5:8" x14ac:dyDescent="0.3">
      <c r="E192" s="19"/>
      <c r="G192" s="20"/>
      <c r="H192" s="20"/>
    </row>
    <row r="193" spans="5:8" x14ac:dyDescent="0.3">
      <c r="E193" s="19"/>
      <c r="G193" s="20"/>
      <c r="H193" s="20"/>
    </row>
    <row r="194" spans="5:8" x14ac:dyDescent="0.3">
      <c r="E194" s="19"/>
      <c r="G194" s="20"/>
      <c r="H194" s="20"/>
    </row>
    <row r="195" spans="5:8" x14ac:dyDescent="0.3">
      <c r="E195" s="19"/>
      <c r="G195" s="20"/>
      <c r="H195" s="20"/>
    </row>
    <row r="196" spans="5:8" x14ac:dyDescent="0.3">
      <c r="E196" s="19"/>
      <c r="G196" s="20"/>
      <c r="H196" s="20"/>
    </row>
    <row r="197" spans="5:8" x14ac:dyDescent="0.3">
      <c r="E197" s="19"/>
      <c r="G197" s="20"/>
      <c r="H197" s="20"/>
    </row>
    <row r="198" spans="5:8" x14ac:dyDescent="0.3">
      <c r="E198" s="19"/>
      <c r="G198" s="20"/>
      <c r="H198" s="20"/>
    </row>
    <row r="199" spans="5:8" x14ac:dyDescent="0.3">
      <c r="E199" s="19"/>
      <c r="G199" s="20"/>
      <c r="H199" s="20"/>
    </row>
    <row r="200" spans="5:8" x14ac:dyDescent="0.3">
      <c r="E200" s="19"/>
      <c r="G200" s="20"/>
      <c r="H200" s="20"/>
    </row>
    <row r="201" spans="5:8" x14ac:dyDescent="0.3">
      <c r="E201" s="19"/>
      <c r="G201" s="20"/>
      <c r="H201" s="20"/>
    </row>
    <row r="202" spans="5:8" x14ac:dyDescent="0.3">
      <c r="E202" s="19"/>
      <c r="G202" s="20"/>
      <c r="H202" s="20"/>
    </row>
    <row r="203" spans="5:8" x14ac:dyDescent="0.3">
      <c r="E203" s="19"/>
      <c r="G203" s="20"/>
      <c r="H203" s="20"/>
    </row>
    <row r="204" spans="5:8" x14ac:dyDescent="0.3">
      <c r="E204" s="19"/>
      <c r="G204" s="20"/>
      <c r="H204" s="20"/>
    </row>
    <row r="205" spans="5:8" x14ac:dyDescent="0.3">
      <c r="E205" s="19"/>
      <c r="G205" s="20"/>
      <c r="H205" s="20"/>
    </row>
    <row r="206" spans="5:8" x14ac:dyDescent="0.3">
      <c r="E206" s="19"/>
      <c r="G206" s="20"/>
      <c r="H206" s="20"/>
    </row>
    <row r="207" spans="5:8" x14ac:dyDescent="0.3">
      <c r="E207" s="19"/>
      <c r="G207" s="20"/>
      <c r="H207" s="20"/>
    </row>
    <row r="208" spans="5:8" x14ac:dyDescent="0.3">
      <c r="E208" s="19"/>
      <c r="G208" s="20"/>
      <c r="H208" s="20"/>
    </row>
    <row r="209" spans="5:8" x14ac:dyDescent="0.3">
      <c r="E209" s="19"/>
      <c r="G209" s="20"/>
      <c r="H209" s="20"/>
    </row>
    <row r="210" spans="5:8" x14ac:dyDescent="0.3">
      <c r="E210" s="19"/>
      <c r="G210" s="20"/>
      <c r="H210" s="20"/>
    </row>
    <row r="211" spans="5:8" x14ac:dyDescent="0.3">
      <c r="E211" s="19"/>
      <c r="G211" s="20"/>
      <c r="H211" s="20"/>
    </row>
    <row r="212" spans="5:8" x14ac:dyDescent="0.3">
      <c r="E212" s="19"/>
      <c r="G212" s="20"/>
      <c r="H212" s="20"/>
    </row>
    <row r="213" spans="5:8" x14ac:dyDescent="0.3">
      <c r="E213" s="19"/>
      <c r="G213" s="20"/>
      <c r="H213" s="20"/>
    </row>
    <row r="214" spans="5:8" x14ac:dyDescent="0.3">
      <c r="E214" s="19"/>
      <c r="G214" s="20"/>
      <c r="H214" s="20"/>
    </row>
    <row r="215" spans="5:8" x14ac:dyDescent="0.3">
      <c r="E215" s="19"/>
      <c r="G215" s="20"/>
      <c r="H215" s="20"/>
    </row>
    <row r="216" spans="5:8" x14ac:dyDescent="0.3">
      <c r="E216" s="19"/>
      <c r="G216" s="20"/>
      <c r="H216" s="20"/>
    </row>
    <row r="217" spans="5:8" x14ac:dyDescent="0.3">
      <c r="E217" s="19"/>
      <c r="G217" s="20"/>
      <c r="H217" s="20"/>
    </row>
    <row r="218" spans="5:8" x14ac:dyDescent="0.3">
      <c r="E218" s="19"/>
      <c r="G218" s="20"/>
      <c r="H218" s="20"/>
    </row>
    <row r="219" spans="5:8" x14ac:dyDescent="0.3">
      <c r="E219" s="19"/>
      <c r="G219" s="20"/>
      <c r="H219" s="20"/>
    </row>
    <row r="220" spans="5:8" x14ac:dyDescent="0.3">
      <c r="E220" s="19"/>
      <c r="G220" s="20"/>
      <c r="H220" s="20"/>
    </row>
    <row r="221" spans="5:8" x14ac:dyDescent="0.3">
      <c r="E221" s="19"/>
      <c r="G221" s="20"/>
      <c r="H221" s="20"/>
    </row>
    <row r="222" spans="5:8" x14ac:dyDescent="0.3">
      <c r="E222" s="19"/>
      <c r="G222" s="20"/>
      <c r="H222" s="20"/>
    </row>
    <row r="223" spans="5:8" x14ac:dyDescent="0.3">
      <c r="E223" s="19"/>
      <c r="G223" s="20"/>
      <c r="H223" s="20"/>
    </row>
    <row r="224" spans="5:8" x14ac:dyDescent="0.3">
      <c r="E224" s="19"/>
      <c r="G224" s="20"/>
      <c r="H224" s="20"/>
    </row>
    <row r="225" spans="5:8" x14ac:dyDescent="0.3">
      <c r="E225" s="19"/>
      <c r="G225" s="20"/>
      <c r="H225" s="20"/>
    </row>
    <row r="226" spans="5:8" x14ac:dyDescent="0.3">
      <c r="E226" s="19"/>
      <c r="G226" s="20"/>
      <c r="H226" s="20"/>
    </row>
    <row r="227" spans="5:8" x14ac:dyDescent="0.3">
      <c r="E227" s="19"/>
      <c r="G227" s="20"/>
      <c r="H227" s="20"/>
    </row>
    <row r="228" spans="5:8" x14ac:dyDescent="0.3">
      <c r="E228" s="19"/>
      <c r="G228" s="20"/>
      <c r="H228" s="20"/>
    </row>
    <row r="229" spans="5:8" x14ac:dyDescent="0.3">
      <c r="E229" s="19"/>
      <c r="G229" s="20"/>
      <c r="H229" s="20"/>
    </row>
    <row r="230" spans="5:8" x14ac:dyDescent="0.3">
      <c r="E230" s="19"/>
      <c r="G230" s="20"/>
      <c r="H230" s="20"/>
    </row>
    <row r="231" spans="5:8" x14ac:dyDescent="0.3">
      <c r="E231" s="19"/>
      <c r="G231" s="20"/>
      <c r="H231" s="20"/>
    </row>
    <row r="232" spans="5:8" x14ac:dyDescent="0.3">
      <c r="E232" s="19"/>
      <c r="G232" s="20"/>
      <c r="H232" s="20"/>
    </row>
    <row r="233" spans="5:8" x14ac:dyDescent="0.3">
      <c r="E233" s="19"/>
      <c r="G233" s="20"/>
      <c r="H233" s="20"/>
    </row>
    <row r="234" spans="5:8" x14ac:dyDescent="0.3">
      <c r="E234" s="19"/>
      <c r="G234" s="20"/>
      <c r="H234" s="20"/>
    </row>
    <row r="235" spans="5:8" x14ac:dyDescent="0.3">
      <c r="E235" s="19"/>
      <c r="G235" s="20"/>
      <c r="H235" s="20"/>
    </row>
    <row r="236" spans="5:8" x14ac:dyDescent="0.3">
      <c r="E236" s="19"/>
      <c r="G236" s="20"/>
      <c r="H236" s="20"/>
    </row>
    <row r="237" spans="5:8" x14ac:dyDescent="0.3">
      <c r="E237" s="19"/>
      <c r="G237" s="20"/>
      <c r="H237" s="20"/>
    </row>
    <row r="238" spans="5:8" x14ac:dyDescent="0.3">
      <c r="E238" s="19"/>
      <c r="G238" s="20"/>
      <c r="H238" s="20"/>
    </row>
    <row r="239" spans="5:8" x14ac:dyDescent="0.3">
      <c r="E239" s="19"/>
      <c r="G239" s="20"/>
      <c r="H239" s="20"/>
    </row>
    <row r="240" spans="5:8" x14ac:dyDescent="0.3">
      <c r="E240" s="19"/>
      <c r="G240" s="20"/>
      <c r="H240" s="20"/>
    </row>
    <row r="241" spans="5:8" x14ac:dyDescent="0.3">
      <c r="E241" s="19"/>
      <c r="G241" s="20"/>
      <c r="H241" s="20"/>
    </row>
    <row r="242" spans="5:8" x14ac:dyDescent="0.3">
      <c r="E242" s="19"/>
      <c r="G242" s="20"/>
      <c r="H242" s="20"/>
    </row>
    <row r="243" spans="5:8" x14ac:dyDescent="0.3">
      <c r="E243" s="19"/>
      <c r="G243" s="20"/>
      <c r="H243" s="20"/>
    </row>
    <row r="244" spans="5:8" x14ac:dyDescent="0.3">
      <c r="E244" s="19"/>
      <c r="G244" s="20"/>
      <c r="H244" s="20"/>
    </row>
    <row r="245" spans="5:8" x14ac:dyDescent="0.3">
      <c r="E245" s="19"/>
      <c r="G245" s="20"/>
      <c r="H245" s="20"/>
    </row>
    <row r="246" spans="5:8" x14ac:dyDescent="0.3">
      <c r="E246" s="19"/>
      <c r="G246" s="20"/>
      <c r="H246" s="20"/>
    </row>
    <row r="247" spans="5:8" x14ac:dyDescent="0.3">
      <c r="E247" s="19"/>
      <c r="G247" s="20"/>
      <c r="H247" s="20"/>
    </row>
    <row r="248" spans="5:8" x14ac:dyDescent="0.3">
      <c r="E248" s="19"/>
      <c r="G248" s="20"/>
      <c r="H248" s="20"/>
    </row>
    <row r="249" spans="5:8" x14ac:dyDescent="0.3">
      <c r="E249" s="19"/>
      <c r="G249" s="20"/>
      <c r="H249" s="20"/>
    </row>
    <row r="250" spans="5:8" x14ac:dyDescent="0.3">
      <c r="E250" s="19"/>
      <c r="G250" s="20"/>
      <c r="H250" s="20"/>
    </row>
    <row r="251" spans="5:8" x14ac:dyDescent="0.3">
      <c r="E251" s="19"/>
      <c r="G251" s="20"/>
      <c r="H251" s="20"/>
    </row>
    <row r="252" spans="5:8" x14ac:dyDescent="0.3">
      <c r="E252" s="19"/>
      <c r="G252" s="20"/>
      <c r="H252" s="20"/>
    </row>
    <row r="253" spans="5:8" x14ac:dyDescent="0.3">
      <c r="E253" s="19"/>
      <c r="G253" s="20"/>
      <c r="H253" s="20"/>
    </row>
    <row r="254" spans="5:8" x14ac:dyDescent="0.3">
      <c r="E254" s="19"/>
      <c r="G254" s="20"/>
      <c r="H254" s="20"/>
    </row>
    <row r="255" spans="5:8" x14ac:dyDescent="0.3">
      <c r="E255" s="19"/>
      <c r="G255" s="20"/>
      <c r="H255" s="20"/>
    </row>
    <row r="256" spans="5:8" x14ac:dyDescent="0.3">
      <c r="E256" s="19"/>
      <c r="G256" s="20"/>
      <c r="H256" s="20"/>
    </row>
    <row r="257" spans="5:8" x14ac:dyDescent="0.3">
      <c r="E257" s="19"/>
      <c r="G257" s="20"/>
      <c r="H257" s="20"/>
    </row>
    <row r="258" spans="5:8" x14ac:dyDescent="0.3">
      <c r="E258" s="19"/>
      <c r="G258" s="20"/>
      <c r="H258" s="20"/>
    </row>
    <row r="259" spans="5:8" x14ac:dyDescent="0.3">
      <c r="E259" s="19"/>
      <c r="G259" s="20"/>
      <c r="H259" s="20"/>
    </row>
    <row r="260" spans="5:8" x14ac:dyDescent="0.3">
      <c r="E260" s="19"/>
      <c r="G260" s="20"/>
      <c r="H260" s="20"/>
    </row>
    <row r="261" spans="5:8" x14ac:dyDescent="0.3">
      <c r="E261" s="19"/>
      <c r="G261" s="20"/>
      <c r="H261" s="20"/>
    </row>
    <row r="262" spans="5:8" x14ac:dyDescent="0.3">
      <c r="E262" s="19"/>
      <c r="G262" s="20"/>
      <c r="H262" s="20"/>
    </row>
    <row r="263" spans="5:8" x14ac:dyDescent="0.3">
      <c r="E263" s="19"/>
      <c r="G263" s="20"/>
      <c r="H263" s="20"/>
    </row>
    <row r="264" spans="5:8" x14ac:dyDescent="0.3">
      <c r="E264" s="19"/>
      <c r="G264" s="20"/>
      <c r="H264" s="20"/>
    </row>
    <row r="265" spans="5:8" x14ac:dyDescent="0.3">
      <c r="E265" s="19"/>
      <c r="G265" s="20"/>
      <c r="H265" s="20"/>
    </row>
    <row r="266" spans="5:8" x14ac:dyDescent="0.3">
      <c r="E266" s="19"/>
      <c r="G266" s="20"/>
      <c r="H266" s="20"/>
    </row>
    <row r="267" spans="5:8" x14ac:dyDescent="0.3">
      <c r="E267" s="19"/>
      <c r="G267" s="20"/>
      <c r="H267" s="20"/>
    </row>
    <row r="268" spans="5:8" x14ac:dyDescent="0.3">
      <c r="E268" s="19"/>
      <c r="G268" s="20"/>
      <c r="H268" s="20"/>
    </row>
    <row r="269" spans="5:8" x14ac:dyDescent="0.3">
      <c r="E269" s="19"/>
      <c r="G269" s="20"/>
      <c r="H269" s="20"/>
    </row>
    <row r="270" spans="5:8" x14ac:dyDescent="0.3">
      <c r="E270" s="19"/>
      <c r="G270" s="20"/>
      <c r="H270" s="20"/>
    </row>
    <row r="271" spans="5:8" x14ac:dyDescent="0.3">
      <c r="E271" s="19"/>
      <c r="G271" s="20"/>
      <c r="H271" s="20"/>
    </row>
    <row r="272" spans="5:8" x14ac:dyDescent="0.3">
      <c r="E272" s="19"/>
      <c r="G272" s="20"/>
      <c r="H272" s="20"/>
    </row>
    <row r="273" spans="5:8" x14ac:dyDescent="0.3">
      <c r="E273" s="19"/>
      <c r="G273" s="20"/>
      <c r="H273" s="20"/>
    </row>
    <row r="274" spans="5:8" x14ac:dyDescent="0.3">
      <c r="E274" s="19"/>
      <c r="G274" s="20"/>
      <c r="H274" s="20"/>
    </row>
    <row r="275" spans="5:8" x14ac:dyDescent="0.3">
      <c r="E275" s="19"/>
      <c r="G275" s="20"/>
      <c r="H275" s="20"/>
    </row>
    <row r="276" spans="5:8" x14ac:dyDescent="0.3">
      <c r="E276" s="19"/>
      <c r="G276" s="20"/>
      <c r="H276" s="20"/>
    </row>
    <row r="277" spans="5:8" x14ac:dyDescent="0.3">
      <c r="E277" s="19"/>
      <c r="G277" s="20"/>
      <c r="H277" s="20"/>
    </row>
    <row r="278" spans="5:8" x14ac:dyDescent="0.3">
      <c r="E278" s="19"/>
      <c r="G278" s="20"/>
      <c r="H278" s="20"/>
    </row>
    <row r="279" spans="5:8" x14ac:dyDescent="0.3">
      <c r="E279" s="19"/>
      <c r="G279" s="20"/>
      <c r="H279" s="20"/>
    </row>
    <row r="280" spans="5:8" x14ac:dyDescent="0.3">
      <c r="E280" s="19"/>
      <c r="G280" s="20"/>
      <c r="H280" s="20"/>
    </row>
    <row r="281" spans="5:8" x14ac:dyDescent="0.3">
      <c r="E281" s="19"/>
      <c r="G281" s="20"/>
      <c r="H281" s="20"/>
    </row>
    <row r="282" spans="5:8" x14ac:dyDescent="0.3">
      <c r="E282" s="19"/>
      <c r="G282" s="20"/>
      <c r="H282" s="20"/>
    </row>
    <row r="283" spans="5:8" x14ac:dyDescent="0.3">
      <c r="E283" s="19"/>
      <c r="G283" s="20"/>
      <c r="H283" s="20"/>
    </row>
    <row r="284" spans="5:8" x14ac:dyDescent="0.3">
      <c r="E284" s="19"/>
      <c r="G284" s="20"/>
      <c r="H284" s="20"/>
    </row>
    <row r="285" spans="5:8" x14ac:dyDescent="0.3">
      <c r="E285" s="19"/>
      <c r="G285" s="20"/>
      <c r="H285" s="20"/>
    </row>
    <row r="286" spans="5:8" x14ac:dyDescent="0.3">
      <c r="E286" s="19"/>
      <c r="G286" s="20"/>
      <c r="H286" s="20"/>
    </row>
    <row r="287" spans="5:8" x14ac:dyDescent="0.3">
      <c r="E287" s="19"/>
      <c r="G287" s="20"/>
      <c r="H287" s="20"/>
    </row>
    <row r="288" spans="5:8" x14ac:dyDescent="0.3">
      <c r="E288" s="19"/>
      <c r="G288" s="20"/>
      <c r="H288" s="20"/>
    </row>
    <row r="289" spans="5:8" x14ac:dyDescent="0.3">
      <c r="E289" s="19"/>
      <c r="G289" s="20"/>
      <c r="H289" s="20"/>
    </row>
    <row r="290" spans="5:8" x14ac:dyDescent="0.3">
      <c r="E290" s="19"/>
      <c r="G290" s="20"/>
      <c r="H290" s="20"/>
    </row>
    <row r="291" spans="5:8" x14ac:dyDescent="0.3">
      <c r="E291" s="19"/>
      <c r="G291" s="20"/>
      <c r="H291" s="20"/>
    </row>
    <row r="292" spans="5:8" x14ac:dyDescent="0.3">
      <c r="E292" s="19"/>
      <c r="G292" s="20"/>
      <c r="H292" s="20"/>
    </row>
    <row r="293" spans="5:8" x14ac:dyDescent="0.3">
      <c r="E293" s="19"/>
      <c r="G293" s="20"/>
      <c r="H293" s="20"/>
    </row>
    <row r="294" spans="5:8" x14ac:dyDescent="0.3">
      <c r="E294" s="19"/>
      <c r="G294" s="20"/>
      <c r="H294" s="20"/>
    </row>
    <row r="295" spans="5:8" x14ac:dyDescent="0.3">
      <c r="E295" s="19"/>
      <c r="G295" s="20"/>
      <c r="H295" s="20"/>
    </row>
    <row r="296" spans="5:8" x14ac:dyDescent="0.3">
      <c r="E296" s="19"/>
      <c r="G296" s="20"/>
      <c r="H296" s="20"/>
    </row>
    <row r="297" spans="5:8" x14ac:dyDescent="0.3">
      <c r="E297" s="19"/>
      <c r="G297" s="20"/>
      <c r="H297" s="20"/>
    </row>
    <row r="298" spans="5:8" x14ac:dyDescent="0.3">
      <c r="E298" s="19"/>
      <c r="G298" s="20"/>
      <c r="H298" s="20"/>
    </row>
    <row r="299" spans="5:8" x14ac:dyDescent="0.3">
      <c r="E299" s="19"/>
      <c r="G299" s="20"/>
      <c r="H299" s="20"/>
    </row>
    <row r="300" spans="5:8" x14ac:dyDescent="0.3">
      <c r="E300" s="19"/>
      <c r="G300" s="20"/>
      <c r="H300" s="20"/>
    </row>
    <row r="301" spans="5:8" x14ac:dyDescent="0.3">
      <c r="E301" s="19"/>
      <c r="G301" s="20"/>
      <c r="H301" s="20"/>
    </row>
    <row r="302" spans="5:8" x14ac:dyDescent="0.3">
      <c r="E302" s="19"/>
      <c r="G302" s="20"/>
      <c r="H302" s="20"/>
    </row>
    <row r="303" spans="5:8" x14ac:dyDescent="0.3">
      <c r="E303" s="19"/>
      <c r="G303" s="20"/>
      <c r="H303" s="20"/>
    </row>
    <row r="304" spans="5:8" x14ac:dyDescent="0.3">
      <c r="E304" s="19"/>
      <c r="G304" s="20"/>
      <c r="H304" s="20"/>
    </row>
    <row r="305" spans="5:8" x14ac:dyDescent="0.3">
      <c r="E305" s="19"/>
      <c r="G305" s="20"/>
      <c r="H305" s="20"/>
    </row>
    <row r="306" spans="5:8" x14ac:dyDescent="0.3">
      <c r="E306" s="19"/>
      <c r="G306" s="20"/>
      <c r="H306" s="20"/>
    </row>
    <row r="307" spans="5:8" x14ac:dyDescent="0.3">
      <c r="E307" s="19"/>
      <c r="G307" s="20"/>
      <c r="H307" s="20"/>
    </row>
    <row r="308" spans="5:8" x14ac:dyDescent="0.3">
      <c r="E308" s="19"/>
      <c r="G308" s="20"/>
      <c r="H308" s="20"/>
    </row>
    <row r="309" spans="5:8" x14ac:dyDescent="0.3">
      <c r="E309" s="19"/>
      <c r="G309" s="20"/>
      <c r="H309" s="20"/>
    </row>
    <row r="310" spans="5:8" x14ac:dyDescent="0.3">
      <c r="E310" s="19"/>
      <c r="G310" s="20"/>
      <c r="H310" s="20"/>
    </row>
    <row r="311" spans="5:8" x14ac:dyDescent="0.3">
      <c r="E311" s="19"/>
      <c r="G311" s="20"/>
      <c r="H311" s="20"/>
    </row>
    <row r="312" spans="5:8" x14ac:dyDescent="0.3">
      <c r="E312" s="19"/>
      <c r="G312" s="20"/>
      <c r="H312" s="20"/>
    </row>
    <row r="313" spans="5:8" x14ac:dyDescent="0.3">
      <c r="E313" s="19"/>
      <c r="G313" s="20"/>
      <c r="H313" s="20"/>
    </row>
    <row r="314" spans="5:8" x14ac:dyDescent="0.3">
      <c r="E314" s="19"/>
      <c r="G314" s="20"/>
      <c r="H314" s="20"/>
    </row>
    <row r="315" spans="5:8" x14ac:dyDescent="0.3">
      <c r="E315" s="19"/>
      <c r="G315" s="20"/>
      <c r="H315" s="20"/>
    </row>
    <row r="316" spans="5:8" x14ac:dyDescent="0.3">
      <c r="E316" s="19"/>
      <c r="G316" s="20"/>
      <c r="H316" s="20"/>
    </row>
    <row r="317" spans="5:8" x14ac:dyDescent="0.3">
      <c r="E317" s="19"/>
      <c r="G317" s="20"/>
      <c r="H317" s="20"/>
    </row>
    <row r="318" spans="5:8" x14ac:dyDescent="0.3">
      <c r="E318" s="19"/>
      <c r="G318" s="20"/>
      <c r="H318" s="20"/>
    </row>
    <row r="319" spans="5:8" x14ac:dyDescent="0.3">
      <c r="E319" s="19"/>
      <c r="G319" s="20"/>
      <c r="H319" s="20"/>
    </row>
    <row r="320" spans="5:8" x14ac:dyDescent="0.3">
      <c r="E320" s="19"/>
      <c r="G320" s="20"/>
      <c r="H320" s="20"/>
    </row>
    <row r="321" spans="5:8" x14ac:dyDescent="0.3">
      <c r="E321" s="19"/>
      <c r="G321" s="20"/>
      <c r="H321" s="20"/>
    </row>
    <row r="322" spans="5:8" x14ac:dyDescent="0.3">
      <c r="E322" s="19"/>
      <c r="G322" s="20"/>
      <c r="H322" s="20"/>
    </row>
    <row r="323" spans="5:8" x14ac:dyDescent="0.3">
      <c r="E323" s="19"/>
      <c r="G323" s="20"/>
      <c r="H323" s="20"/>
    </row>
    <row r="324" spans="5:8" x14ac:dyDescent="0.3">
      <c r="E324" s="19"/>
      <c r="G324" s="20"/>
      <c r="H324" s="20"/>
    </row>
    <row r="325" spans="5:8" x14ac:dyDescent="0.3">
      <c r="E325" s="19"/>
      <c r="G325" s="20"/>
      <c r="H325" s="20"/>
    </row>
    <row r="326" spans="5:8" x14ac:dyDescent="0.3">
      <c r="E326" s="19"/>
      <c r="G326" s="20"/>
      <c r="H326" s="20"/>
    </row>
    <row r="327" spans="5:8" x14ac:dyDescent="0.3">
      <c r="E327" s="19"/>
      <c r="G327" s="20"/>
      <c r="H327" s="20"/>
    </row>
    <row r="328" spans="5:8" x14ac:dyDescent="0.3">
      <c r="E328" s="19"/>
      <c r="G328" s="20"/>
      <c r="H328" s="20"/>
    </row>
    <row r="329" spans="5:8" x14ac:dyDescent="0.3">
      <c r="E329" s="19"/>
      <c r="G329" s="20"/>
      <c r="H329" s="20"/>
    </row>
    <row r="330" spans="5:8" x14ac:dyDescent="0.3">
      <c r="E330" s="19"/>
      <c r="G330" s="20"/>
      <c r="H330" s="20"/>
    </row>
    <row r="331" spans="5:8" x14ac:dyDescent="0.3">
      <c r="E331" s="19"/>
      <c r="G331" s="20"/>
      <c r="H331" s="20"/>
    </row>
    <row r="332" spans="5:8" x14ac:dyDescent="0.3">
      <c r="E332" s="19"/>
      <c r="G332" s="20"/>
      <c r="H332" s="20"/>
    </row>
    <row r="333" spans="5:8" x14ac:dyDescent="0.3">
      <c r="E333" s="19"/>
      <c r="G333" s="20"/>
      <c r="H333" s="20"/>
    </row>
    <row r="334" spans="5:8" x14ac:dyDescent="0.3">
      <c r="E334" s="19"/>
      <c r="G334" s="20"/>
      <c r="H334" s="20"/>
    </row>
    <row r="335" spans="5:8" x14ac:dyDescent="0.3">
      <c r="E335" s="19"/>
      <c r="G335" s="20"/>
      <c r="H335" s="20"/>
    </row>
    <row r="336" spans="5:8" x14ac:dyDescent="0.3">
      <c r="E336" s="19"/>
      <c r="G336" s="20"/>
      <c r="H336" s="20"/>
    </row>
    <row r="337" spans="5:8" x14ac:dyDescent="0.3">
      <c r="E337" s="19"/>
      <c r="G337" s="20"/>
      <c r="H337" s="20"/>
    </row>
    <row r="338" spans="5:8" x14ac:dyDescent="0.3">
      <c r="E338" s="19"/>
      <c r="G338" s="20"/>
      <c r="H338" s="20"/>
    </row>
    <row r="339" spans="5:8" x14ac:dyDescent="0.3">
      <c r="E339" s="19"/>
      <c r="G339" s="20"/>
      <c r="H339" s="20"/>
    </row>
    <row r="340" spans="5:8" x14ac:dyDescent="0.3">
      <c r="E340" s="19"/>
      <c r="G340" s="20"/>
      <c r="H340" s="20"/>
    </row>
    <row r="341" spans="5:8" x14ac:dyDescent="0.3">
      <c r="E341" s="19"/>
      <c r="G341" s="20"/>
      <c r="H341" s="20"/>
    </row>
    <row r="342" spans="5:8" x14ac:dyDescent="0.3">
      <c r="E342" s="19"/>
      <c r="G342" s="20"/>
      <c r="H342" s="20"/>
    </row>
    <row r="343" spans="5:8" x14ac:dyDescent="0.3">
      <c r="E343" s="19"/>
      <c r="G343" s="20"/>
      <c r="H343" s="20"/>
    </row>
    <row r="344" spans="5:8" x14ac:dyDescent="0.3">
      <c r="E344" s="19"/>
      <c r="G344" s="20"/>
      <c r="H344" s="20"/>
    </row>
    <row r="345" spans="5:8" x14ac:dyDescent="0.3">
      <c r="E345" s="19"/>
      <c r="G345" s="20"/>
      <c r="H345" s="20"/>
    </row>
    <row r="346" spans="5:8" x14ac:dyDescent="0.3">
      <c r="E346" s="19"/>
      <c r="G346" s="20"/>
      <c r="H346" s="20"/>
    </row>
    <row r="347" spans="5:8" x14ac:dyDescent="0.3">
      <c r="E347" s="19"/>
      <c r="G347" s="20"/>
      <c r="H347" s="20"/>
    </row>
    <row r="348" spans="5:8" x14ac:dyDescent="0.3">
      <c r="E348" s="19"/>
      <c r="G348" s="20"/>
      <c r="H348" s="20"/>
    </row>
    <row r="349" spans="5:8" x14ac:dyDescent="0.3">
      <c r="E349" s="19"/>
      <c r="G349" s="20"/>
      <c r="H349" s="20"/>
    </row>
    <row r="350" spans="5:8" x14ac:dyDescent="0.3">
      <c r="E350" s="19"/>
      <c r="G350" s="20"/>
      <c r="H350" s="20"/>
    </row>
    <row r="351" spans="5:8" x14ac:dyDescent="0.3">
      <c r="E351" s="19"/>
      <c r="G351" s="20"/>
      <c r="H351" s="20"/>
    </row>
    <row r="352" spans="5:8" x14ac:dyDescent="0.3">
      <c r="E352" s="19"/>
      <c r="G352" s="20"/>
      <c r="H352" s="20"/>
    </row>
    <row r="353" spans="5:8" x14ac:dyDescent="0.3">
      <c r="E353" s="19"/>
      <c r="G353" s="20"/>
      <c r="H353" s="20"/>
    </row>
    <row r="354" spans="5:8" x14ac:dyDescent="0.3">
      <c r="E354" s="19"/>
      <c r="G354" s="20"/>
      <c r="H354" s="20"/>
    </row>
    <row r="355" spans="5:8" x14ac:dyDescent="0.3">
      <c r="E355" s="19"/>
      <c r="G355" s="20"/>
      <c r="H355" s="20"/>
    </row>
    <row r="356" spans="5:8" x14ac:dyDescent="0.3">
      <c r="E356" s="19"/>
      <c r="G356" s="20"/>
      <c r="H356" s="20"/>
    </row>
    <row r="357" spans="5:8" x14ac:dyDescent="0.3">
      <c r="E357" s="19"/>
      <c r="G357" s="20"/>
      <c r="H357" s="20"/>
    </row>
    <row r="358" spans="5:8" x14ac:dyDescent="0.3">
      <c r="E358" s="19"/>
      <c r="G358" s="20"/>
      <c r="H358" s="20"/>
    </row>
    <row r="359" spans="5:8" x14ac:dyDescent="0.3">
      <c r="E359" s="19"/>
      <c r="G359" s="20"/>
      <c r="H359" s="20"/>
    </row>
    <row r="360" spans="5:8" x14ac:dyDescent="0.3">
      <c r="E360" s="19"/>
      <c r="G360" s="20"/>
      <c r="H360" s="20"/>
    </row>
    <row r="361" spans="5:8" x14ac:dyDescent="0.3">
      <c r="E361" s="19"/>
      <c r="G361" s="20"/>
      <c r="H361" s="20"/>
    </row>
    <row r="362" spans="5:8" x14ac:dyDescent="0.3">
      <c r="E362" s="19"/>
      <c r="G362" s="20"/>
      <c r="H362" s="20"/>
    </row>
    <row r="363" spans="5:8" x14ac:dyDescent="0.3">
      <c r="E363" s="19"/>
      <c r="G363" s="20"/>
      <c r="H363" s="20"/>
    </row>
    <row r="364" spans="5:8" x14ac:dyDescent="0.3">
      <c r="E364" s="19"/>
      <c r="G364" s="20"/>
      <c r="H364" s="20"/>
    </row>
    <row r="365" spans="5:8" x14ac:dyDescent="0.3">
      <c r="E365" s="19"/>
      <c r="G365" s="20"/>
      <c r="H365" s="20"/>
    </row>
    <row r="366" spans="5:8" x14ac:dyDescent="0.3">
      <c r="E366" s="19"/>
      <c r="G366" s="20"/>
      <c r="H366" s="20"/>
    </row>
    <row r="367" spans="5:8" x14ac:dyDescent="0.3">
      <c r="E367" s="19"/>
      <c r="G367" s="20"/>
      <c r="H367" s="20"/>
    </row>
    <row r="368" spans="5:8" x14ac:dyDescent="0.3">
      <c r="E368" s="19"/>
      <c r="G368" s="20"/>
      <c r="H368" s="20"/>
    </row>
    <row r="369" spans="5:8" x14ac:dyDescent="0.3">
      <c r="E369" s="19"/>
      <c r="G369" s="20"/>
      <c r="H369" s="20"/>
    </row>
    <row r="370" spans="5:8" x14ac:dyDescent="0.3">
      <c r="E370" s="19"/>
      <c r="G370" s="20"/>
      <c r="H370" s="20"/>
    </row>
    <row r="371" spans="5:8" x14ac:dyDescent="0.3">
      <c r="E371" s="19"/>
      <c r="G371" s="20"/>
      <c r="H371" s="20"/>
    </row>
    <row r="372" spans="5:8" x14ac:dyDescent="0.3">
      <c r="E372" s="19"/>
      <c r="G372" s="20"/>
      <c r="H372" s="20"/>
    </row>
    <row r="373" spans="5:8" x14ac:dyDescent="0.3">
      <c r="E373" s="19"/>
      <c r="G373" s="20"/>
      <c r="H373" s="20"/>
    </row>
    <row r="374" spans="5:8" x14ac:dyDescent="0.3">
      <c r="E374" s="19"/>
      <c r="G374" s="20"/>
      <c r="H374" s="20"/>
    </row>
    <row r="375" spans="5:8" x14ac:dyDescent="0.3">
      <c r="E375" s="19"/>
      <c r="G375" s="20"/>
      <c r="H375" s="20"/>
    </row>
    <row r="376" spans="5:8" x14ac:dyDescent="0.3">
      <c r="E376" s="19"/>
      <c r="G376" s="20"/>
      <c r="H376" s="20"/>
    </row>
    <row r="377" spans="5:8" x14ac:dyDescent="0.3">
      <c r="E377" s="19"/>
      <c r="G377" s="20"/>
      <c r="H377" s="20"/>
    </row>
    <row r="378" spans="5:8" x14ac:dyDescent="0.3">
      <c r="E378" s="19"/>
      <c r="G378" s="20"/>
      <c r="H378" s="20"/>
    </row>
    <row r="379" spans="5:8" x14ac:dyDescent="0.3">
      <c r="E379" s="19"/>
      <c r="G379" s="20"/>
      <c r="H379" s="20"/>
    </row>
    <row r="380" spans="5:8" x14ac:dyDescent="0.3">
      <c r="E380" s="19"/>
      <c r="G380" s="20"/>
      <c r="H380" s="20"/>
    </row>
    <row r="381" spans="5:8" x14ac:dyDescent="0.3">
      <c r="E381" s="19"/>
      <c r="G381" s="20"/>
      <c r="H381" s="20"/>
    </row>
    <row r="382" spans="5:8" x14ac:dyDescent="0.3">
      <c r="E382" s="19"/>
      <c r="G382" s="20"/>
      <c r="H382" s="20"/>
    </row>
    <row r="383" spans="5:8" x14ac:dyDescent="0.3">
      <c r="E383" s="19"/>
      <c r="G383" s="20"/>
      <c r="H383" s="20"/>
    </row>
    <row r="384" spans="5:8" x14ac:dyDescent="0.3">
      <c r="E384" s="19"/>
      <c r="G384" s="20"/>
      <c r="H384" s="20"/>
    </row>
    <row r="385" spans="5:8" x14ac:dyDescent="0.3">
      <c r="E385" s="19"/>
      <c r="G385" s="20"/>
      <c r="H385" s="20"/>
    </row>
    <row r="386" spans="5:8" x14ac:dyDescent="0.3">
      <c r="E386" s="19"/>
      <c r="G386" s="20"/>
      <c r="H386" s="20"/>
    </row>
    <row r="387" spans="5:8" x14ac:dyDescent="0.3">
      <c r="E387" s="19"/>
      <c r="G387" s="20"/>
      <c r="H387" s="20"/>
    </row>
    <row r="388" spans="5:8" x14ac:dyDescent="0.3">
      <c r="E388" s="19"/>
      <c r="G388" s="20"/>
      <c r="H388" s="20"/>
    </row>
    <row r="389" spans="5:8" x14ac:dyDescent="0.3">
      <c r="E389" s="19"/>
      <c r="G389" s="20"/>
      <c r="H389" s="20"/>
    </row>
    <row r="390" spans="5:8" x14ac:dyDescent="0.3">
      <c r="E390" s="19"/>
      <c r="G390" s="20"/>
      <c r="H390" s="20"/>
    </row>
    <row r="391" spans="5:8" x14ac:dyDescent="0.3">
      <c r="E391" s="19"/>
      <c r="G391" s="20"/>
      <c r="H391" s="20"/>
    </row>
    <row r="392" spans="5:8" x14ac:dyDescent="0.3">
      <c r="E392" s="19"/>
      <c r="G392" s="20"/>
      <c r="H392" s="20"/>
    </row>
    <row r="393" spans="5:8" x14ac:dyDescent="0.3">
      <c r="E393" s="19"/>
      <c r="G393" s="20"/>
      <c r="H393" s="20"/>
    </row>
    <row r="394" spans="5:8" x14ac:dyDescent="0.3">
      <c r="E394" s="19"/>
      <c r="G394" s="20"/>
      <c r="H394" s="20"/>
    </row>
    <row r="395" spans="5:8" x14ac:dyDescent="0.3">
      <c r="E395" s="19"/>
      <c r="G395" s="20"/>
      <c r="H395" s="20"/>
    </row>
    <row r="396" spans="5:8" x14ac:dyDescent="0.3">
      <c r="E396" s="19"/>
      <c r="G396" s="20"/>
      <c r="H396" s="20"/>
    </row>
    <row r="397" spans="5:8" x14ac:dyDescent="0.3">
      <c r="E397" s="19"/>
      <c r="G397" s="20"/>
      <c r="H397" s="20"/>
    </row>
    <row r="398" spans="5:8" x14ac:dyDescent="0.3">
      <c r="E398" s="19"/>
      <c r="G398" s="20"/>
      <c r="H398" s="20"/>
    </row>
    <row r="399" spans="5:8" x14ac:dyDescent="0.3">
      <c r="E399" s="19"/>
      <c r="G399" s="20"/>
      <c r="H399" s="20"/>
    </row>
    <row r="400" spans="5:8" x14ac:dyDescent="0.3">
      <c r="E400" s="19"/>
      <c r="G400" s="20"/>
      <c r="H400" s="20"/>
    </row>
    <row r="401" spans="5:8" x14ac:dyDescent="0.3">
      <c r="E401" s="19"/>
      <c r="G401" s="20"/>
      <c r="H401" s="20"/>
    </row>
    <row r="402" spans="5:8" x14ac:dyDescent="0.3">
      <c r="E402" s="19"/>
      <c r="G402" s="20"/>
      <c r="H402" s="20"/>
    </row>
    <row r="403" spans="5:8" x14ac:dyDescent="0.3">
      <c r="E403" s="19"/>
      <c r="G403" s="20"/>
      <c r="H403" s="20"/>
    </row>
    <row r="404" spans="5:8" x14ac:dyDescent="0.3">
      <c r="E404" s="19"/>
      <c r="G404" s="20"/>
      <c r="H404" s="20"/>
    </row>
    <row r="405" spans="5:8" x14ac:dyDescent="0.3">
      <c r="E405" s="19"/>
      <c r="G405" s="20"/>
      <c r="H405" s="20"/>
    </row>
    <row r="406" spans="5:8" x14ac:dyDescent="0.3">
      <c r="E406" s="19"/>
      <c r="G406" s="20"/>
      <c r="H406" s="20"/>
    </row>
    <row r="407" spans="5:8" x14ac:dyDescent="0.3">
      <c r="E407" s="19"/>
      <c r="G407" s="20"/>
      <c r="H407" s="20"/>
    </row>
    <row r="408" spans="5:8" x14ac:dyDescent="0.3">
      <c r="E408" s="19"/>
      <c r="G408" s="20"/>
      <c r="H408" s="20"/>
    </row>
    <row r="409" spans="5:8" x14ac:dyDescent="0.3">
      <c r="E409" s="19"/>
      <c r="G409" s="20"/>
      <c r="H409" s="20"/>
    </row>
    <row r="410" spans="5:8" x14ac:dyDescent="0.3">
      <c r="E410" s="19"/>
      <c r="G410" s="20"/>
      <c r="H410" s="20"/>
    </row>
    <row r="411" spans="5:8" x14ac:dyDescent="0.3">
      <c r="E411" s="19"/>
      <c r="G411" s="20"/>
      <c r="H411" s="20"/>
    </row>
    <row r="412" spans="5:8" x14ac:dyDescent="0.3">
      <c r="E412" s="19"/>
      <c r="G412" s="20"/>
      <c r="H412" s="20"/>
    </row>
    <row r="413" spans="5:8" x14ac:dyDescent="0.3">
      <c r="E413" s="19"/>
      <c r="G413" s="20"/>
      <c r="H413" s="20"/>
    </row>
    <row r="414" spans="5:8" x14ac:dyDescent="0.3">
      <c r="E414" s="19"/>
      <c r="G414" s="20"/>
      <c r="H414" s="20"/>
    </row>
    <row r="415" spans="5:8" x14ac:dyDescent="0.3">
      <c r="E415" s="19"/>
      <c r="G415" s="20"/>
      <c r="H415" s="20"/>
    </row>
    <row r="416" spans="5:8" x14ac:dyDescent="0.3">
      <c r="E416" s="19"/>
      <c r="G416" s="20"/>
      <c r="H416" s="20"/>
    </row>
    <row r="417" spans="5:8" x14ac:dyDescent="0.3">
      <c r="E417" s="19"/>
      <c r="G417" s="20"/>
      <c r="H417" s="20"/>
    </row>
    <row r="418" spans="5:8" x14ac:dyDescent="0.3">
      <c r="E418" s="19"/>
      <c r="G418" s="20"/>
      <c r="H418" s="20"/>
    </row>
    <row r="419" spans="5:8" x14ac:dyDescent="0.3">
      <c r="E419" s="19"/>
      <c r="G419" s="20"/>
      <c r="H419" s="20"/>
    </row>
    <row r="420" spans="5:8" x14ac:dyDescent="0.3">
      <c r="E420" s="19"/>
      <c r="G420" s="20"/>
      <c r="H420" s="20"/>
    </row>
    <row r="421" spans="5:8" x14ac:dyDescent="0.3">
      <c r="E421" s="19"/>
      <c r="G421" s="20"/>
      <c r="H421" s="20"/>
    </row>
    <row r="422" spans="5:8" x14ac:dyDescent="0.3">
      <c r="E422" s="19"/>
      <c r="G422" s="20"/>
      <c r="H422" s="20"/>
    </row>
    <row r="423" spans="5:8" x14ac:dyDescent="0.3">
      <c r="E423" s="19"/>
      <c r="G423" s="20"/>
      <c r="H423" s="20"/>
    </row>
    <row r="424" spans="5:8" x14ac:dyDescent="0.3">
      <c r="E424" s="19"/>
      <c r="G424" s="20"/>
      <c r="H424" s="20"/>
    </row>
    <row r="425" spans="5:8" x14ac:dyDescent="0.3">
      <c r="E425" s="19"/>
      <c r="G425" s="20"/>
      <c r="H425" s="20"/>
    </row>
    <row r="426" spans="5:8" x14ac:dyDescent="0.3">
      <c r="E426" s="19"/>
      <c r="G426" s="20"/>
      <c r="H426" s="20"/>
    </row>
    <row r="427" spans="5:8" x14ac:dyDescent="0.3">
      <c r="E427" s="19"/>
      <c r="G427" s="20"/>
      <c r="H427" s="20"/>
    </row>
    <row r="428" spans="5:8" x14ac:dyDescent="0.3">
      <c r="E428" s="19"/>
      <c r="G428" s="20"/>
      <c r="H428" s="20"/>
    </row>
    <row r="429" spans="5:8" x14ac:dyDescent="0.3">
      <c r="E429" s="19"/>
      <c r="G429" s="20"/>
      <c r="H429" s="20"/>
    </row>
    <row r="430" spans="5:8" x14ac:dyDescent="0.3">
      <c r="E430" s="19"/>
      <c r="G430" s="20"/>
      <c r="H430" s="20"/>
    </row>
    <row r="431" spans="5:8" x14ac:dyDescent="0.3">
      <c r="E431" s="19"/>
      <c r="G431" s="20"/>
      <c r="H431" s="20"/>
    </row>
    <row r="432" spans="5:8" x14ac:dyDescent="0.3">
      <c r="E432" s="19"/>
      <c r="G432" s="20"/>
      <c r="H432" s="20"/>
    </row>
    <row r="433" spans="5:8" x14ac:dyDescent="0.3">
      <c r="E433" s="19"/>
      <c r="G433" s="20"/>
      <c r="H433" s="20"/>
    </row>
    <row r="434" spans="5:8" x14ac:dyDescent="0.3">
      <c r="E434" s="19"/>
      <c r="G434" s="20"/>
      <c r="H434" s="20"/>
    </row>
    <row r="435" spans="5:8" x14ac:dyDescent="0.3">
      <c r="E435" s="19"/>
      <c r="G435" s="20"/>
      <c r="H435" s="20"/>
    </row>
    <row r="436" spans="5:8" x14ac:dyDescent="0.3">
      <c r="E436" s="19"/>
      <c r="G436" s="20"/>
      <c r="H436" s="20"/>
    </row>
    <row r="437" spans="5:8" x14ac:dyDescent="0.3">
      <c r="E437" s="19"/>
      <c r="G437" s="20"/>
      <c r="H437" s="20"/>
    </row>
    <row r="438" spans="5:8" x14ac:dyDescent="0.3">
      <c r="E438" s="19"/>
      <c r="G438" s="20"/>
      <c r="H438" s="20"/>
    </row>
    <row r="439" spans="5:8" x14ac:dyDescent="0.3">
      <c r="E439" s="19"/>
      <c r="G439" s="20"/>
      <c r="H439" s="20"/>
    </row>
    <row r="440" spans="5:8" x14ac:dyDescent="0.3">
      <c r="E440" s="19"/>
      <c r="G440" s="20"/>
      <c r="H440" s="20"/>
    </row>
    <row r="441" spans="5:8" x14ac:dyDescent="0.3">
      <c r="E441" s="19"/>
      <c r="G441" s="20"/>
      <c r="H441" s="20"/>
    </row>
    <row r="442" spans="5:8" x14ac:dyDescent="0.3">
      <c r="E442" s="19"/>
      <c r="G442" s="20"/>
      <c r="H442" s="20"/>
    </row>
    <row r="443" spans="5:8" x14ac:dyDescent="0.3">
      <c r="E443" s="19"/>
      <c r="G443" s="20"/>
      <c r="H443" s="20"/>
    </row>
    <row r="444" spans="5:8" x14ac:dyDescent="0.3">
      <c r="E444" s="19"/>
      <c r="G444" s="20"/>
      <c r="H444" s="20"/>
    </row>
    <row r="445" spans="5:8" x14ac:dyDescent="0.3">
      <c r="E445" s="19"/>
      <c r="G445" s="20"/>
      <c r="H445" s="20"/>
    </row>
    <row r="446" spans="5:8" x14ac:dyDescent="0.3">
      <c r="E446" s="19"/>
      <c r="G446" s="20"/>
      <c r="H446" s="20"/>
    </row>
    <row r="447" spans="5:8" x14ac:dyDescent="0.3">
      <c r="E447" s="19"/>
      <c r="G447" s="20"/>
      <c r="H447" s="20"/>
    </row>
    <row r="448" spans="5:8" x14ac:dyDescent="0.3">
      <c r="E448" s="19"/>
      <c r="G448" s="20"/>
      <c r="H448" s="20"/>
    </row>
    <row r="449" spans="5:8" x14ac:dyDescent="0.3">
      <c r="E449" s="19"/>
      <c r="G449" s="20"/>
      <c r="H449" s="20"/>
    </row>
    <row r="450" spans="5:8" x14ac:dyDescent="0.3">
      <c r="E450" s="19"/>
      <c r="G450" s="20"/>
      <c r="H450" s="20"/>
    </row>
    <row r="451" spans="5:8" x14ac:dyDescent="0.3">
      <c r="E451" s="19"/>
      <c r="G451" s="20"/>
      <c r="H451" s="20"/>
    </row>
    <row r="452" spans="5:8" x14ac:dyDescent="0.3">
      <c r="E452" s="19"/>
      <c r="G452" s="20"/>
      <c r="H452" s="20"/>
    </row>
    <row r="453" spans="5:8" x14ac:dyDescent="0.3">
      <c r="E453" s="19"/>
      <c r="G453" s="20"/>
      <c r="H453" s="20"/>
    </row>
    <row r="454" spans="5:8" x14ac:dyDescent="0.3">
      <c r="E454" s="19"/>
      <c r="G454" s="20"/>
      <c r="H454" s="20"/>
    </row>
    <row r="455" spans="5:8" x14ac:dyDescent="0.3">
      <c r="E455" s="19"/>
      <c r="G455" s="20"/>
      <c r="H455" s="20"/>
    </row>
    <row r="456" spans="5:8" x14ac:dyDescent="0.3">
      <c r="E456" s="19"/>
      <c r="G456" s="20"/>
      <c r="H456" s="20"/>
    </row>
    <row r="457" spans="5:8" x14ac:dyDescent="0.3">
      <c r="E457" s="19"/>
      <c r="G457" s="20"/>
      <c r="H457" s="20"/>
    </row>
    <row r="458" spans="5:8" x14ac:dyDescent="0.3">
      <c r="E458" s="19"/>
      <c r="G458" s="20"/>
      <c r="H458" s="20"/>
    </row>
    <row r="459" spans="5:8" x14ac:dyDescent="0.3">
      <c r="E459" s="19"/>
      <c r="G459" s="20"/>
      <c r="H459" s="20"/>
    </row>
    <row r="460" spans="5:8" x14ac:dyDescent="0.3">
      <c r="E460" s="19"/>
      <c r="G460" s="20"/>
      <c r="H460" s="20"/>
    </row>
    <row r="461" spans="5:8" x14ac:dyDescent="0.3">
      <c r="E461" s="19"/>
      <c r="G461" s="20"/>
      <c r="H461" s="20"/>
    </row>
    <row r="462" spans="5:8" x14ac:dyDescent="0.3">
      <c r="E462" s="19"/>
      <c r="G462" s="20"/>
      <c r="H462" s="20"/>
    </row>
    <row r="463" spans="5:8" x14ac:dyDescent="0.3">
      <c r="E463" s="19"/>
      <c r="G463" s="20"/>
      <c r="H463" s="20"/>
    </row>
    <row r="464" spans="5:8" x14ac:dyDescent="0.3">
      <c r="E464" s="19"/>
      <c r="G464" s="20"/>
      <c r="H464" s="20"/>
    </row>
    <row r="465" spans="5:8" x14ac:dyDescent="0.3">
      <c r="E465" s="19"/>
      <c r="G465" s="20"/>
      <c r="H465" s="20"/>
    </row>
    <row r="466" spans="5:8" x14ac:dyDescent="0.3">
      <c r="E466" s="19"/>
      <c r="G466" s="20"/>
      <c r="H466" s="20"/>
    </row>
    <row r="467" spans="5:8" x14ac:dyDescent="0.3">
      <c r="E467" s="19"/>
      <c r="G467" s="20"/>
      <c r="H467" s="20"/>
    </row>
    <row r="468" spans="5:8" x14ac:dyDescent="0.3">
      <c r="E468" s="19"/>
      <c r="G468" s="20"/>
      <c r="H468" s="20"/>
    </row>
    <row r="469" spans="5:8" x14ac:dyDescent="0.3">
      <c r="E469" s="19"/>
      <c r="G469" s="20"/>
      <c r="H469" s="20"/>
    </row>
    <row r="470" spans="5:8" x14ac:dyDescent="0.3">
      <c r="E470" s="19"/>
      <c r="G470" s="20"/>
      <c r="H470" s="20"/>
    </row>
    <row r="471" spans="5:8" x14ac:dyDescent="0.3">
      <c r="E471" s="19"/>
      <c r="G471" s="20"/>
      <c r="H471" s="20"/>
    </row>
    <row r="472" spans="5:8" x14ac:dyDescent="0.3">
      <c r="E472" s="19"/>
      <c r="G472" s="20"/>
      <c r="H472" s="20"/>
    </row>
    <row r="473" spans="5:8" x14ac:dyDescent="0.3">
      <c r="E473" s="19"/>
      <c r="G473" s="20"/>
      <c r="H473" s="20"/>
    </row>
    <row r="474" spans="5:8" x14ac:dyDescent="0.3">
      <c r="E474" s="19"/>
      <c r="G474" s="20"/>
      <c r="H474" s="20"/>
    </row>
    <row r="475" spans="5:8" x14ac:dyDescent="0.3">
      <c r="E475" s="19"/>
      <c r="G475" s="20"/>
      <c r="H475" s="20"/>
    </row>
    <row r="476" spans="5:8" x14ac:dyDescent="0.3">
      <c r="E476" s="19"/>
      <c r="G476" s="20"/>
      <c r="H476" s="20"/>
    </row>
    <row r="477" spans="5:8" x14ac:dyDescent="0.3">
      <c r="E477" s="19"/>
      <c r="G477" s="20"/>
      <c r="H477" s="20"/>
    </row>
    <row r="478" spans="5:8" x14ac:dyDescent="0.3">
      <c r="E478" s="19"/>
      <c r="G478" s="20"/>
      <c r="H478" s="20"/>
    </row>
    <row r="479" spans="5:8" x14ac:dyDescent="0.3">
      <c r="E479" s="19"/>
      <c r="G479" s="20"/>
      <c r="H479" s="20"/>
    </row>
    <row r="480" spans="5:8" x14ac:dyDescent="0.3">
      <c r="E480" s="19"/>
      <c r="G480" s="20"/>
      <c r="H480" s="20"/>
    </row>
    <row r="481" spans="5:8" x14ac:dyDescent="0.3">
      <c r="E481" s="19"/>
      <c r="G481" s="20"/>
      <c r="H481" s="20"/>
    </row>
    <row r="482" spans="5:8" x14ac:dyDescent="0.3">
      <c r="E482" s="19"/>
      <c r="G482" s="20"/>
      <c r="H482" s="20"/>
    </row>
    <row r="483" spans="5:8" x14ac:dyDescent="0.3">
      <c r="E483" s="19"/>
      <c r="G483" s="20"/>
      <c r="H483" s="20"/>
    </row>
    <row r="484" spans="5:8" x14ac:dyDescent="0.3">
      <c r="E484" s="19"/>
      <c r="G484" s="20"/>
      <c r="H484" s="20"/>
    </row>
    <row r="485" spans="5:8" x14ac:dyDescent="0.3">
      <c r="E485" s="19"/>
      <c r="G485" s="20"/>
      <c r="H485" s="20"/>
    </row>
    <row r="486" spans="5:8" x14ac:dyDescent="0.3">
      <c r="E486" s="19"/>
      <c r="G486" s="20"/>
      <c r="H486" s="20"/>
    </row>
    <row r="487" spans="5:8" x14ac:dyDescent="0.3">
      <c r="E487" s="19"/>
      <c r="G487" s="20"/>
      <c r="H487" s="20"/>
    </row>
    <row r="488" spans="5:8" x14ac:dyDescent="0.3">
      <c r="E488" s="19"/>
      <c r="G488" s="20"/>
      <c r="H488" s="20"/>
    </row>
    <row r="489" spans="5:8" x14ac:dyDescent="0.3">
      <c r="E489" s="19"/>
      <c r="G489" s="20"/>
      <c r="H489" s="20"/>
    </row>
    <row r="490" spans="5:8" x14ac:dyDescent="0.3">
      <c r="E490" s="19"/>
      <c r="G490" s="20"/>
      <c r="H490" s="20"/>
    </row>
    <row r="491" spans="5:8" x14ac:dyDescent="0.3">
      <c r="E491" s="19"/>
      <c r="G491" s="20"/>
      <c r="H491" s="20"/>
    </row>
    <row r="492" spans="5:8" x14ac:dyDescent="0.3">
      <c r="E492" s="19"/>
      <c r="G492" s="20"/>
      <c r="H492" s="20"/>
    </row>
    <row r="493" spans="5:8" x14ac:dyDescent="0.3">
      <c r="E493" s="19"/>
      <c r="G493" s="20"/>
      <c r="H493" s="20"/>
    </row>
    <row r="494" spans="5:8" x14ac:dyDescent="0.3">
      <c r="E494" s="19"/>
      <c r="G494" s="20"/>
      <c r="H494" s="20"/>
    </row>
    <row r="495" spans="5:8" x14ac:dyDescent="0.3">
      <c r="E495" s="19"/>
      <c r="G495" s="20"/>
      <c r="H495" s="20"/>
    </row>
    <row r="496" spans="5:8" x14ac:dyDescent="0.3">
      <c r="E496" s="19"/>
      <c r="G496" s="20"/>
      <c r="H496" s="20"/>
    </row>
    <row r="497" spans="5:8" x14ac:dyDescent="0.3">
      <c r="E497" s="19"/>
      <c r="G497" s="20"/>
      <c r="H497" s="20"/>
    </row>
    <row r="498" spans="5:8" x14ac:dyDescent="0.3">
      <c r="E498" s="19"/>
      <c r="G498" s="20"/>
      <c r="H498" s="20"/>
    </row>
    <row r="499" spans="5:8" x14ac:dyDescent="0.3">
      <c r="E499" s="19"/>
      <c r="G499" s="20"/>
      <c r="H499" s="20"/>
    </row>
    <row r="500" spans="5:8" x14ac:dyDescent="0.3">
      <c r="E500" s="19"/>
      <c r="G500" s="20"/>
      <c r="H500" s="20"/>
    </row>
    <row r="501" spans="5:8" x14ac:dyDescent="0.3">
      <c r="E501" s="19"/>
      <c r="G501" s="20"/>
      <c r="H501" s="20"/>
    </row>
    <row r="502" spans="5:8" x14ac:dyDescent="0.3">
      <c r="E502" s="19"/>
      <c r="G502" s="20"/>
      <c r="H502" s="20"/>
    </row>
    <row r="503" spans="5:8" x14ac:dyDescent="0.3">
      <c r="E503" s="19"/>
      <c r="G503" s="20"/>
      <c r="H503" s="20"/>
    </row>
    <row r="504" spans="5:8" x14ac:dyDescent="0.3">
      <c r="E504" s="19"/>
      <c r="G504" s="20"/>
      <c r="H504" s="20"/>
    </row>
    <row r="505" spans="5:8" x14ac:dyDescent="0.3">
      <c r="E505" s="19"/>
      <c r="G505" s="20"/>
      <c r="H505" s="20"/>
    </row>
    <row r="506" spans="5:8" x14ac:dyDescent="0.3">
      <c r="E506" s="19"/>
      <c r="G506" s="20"/>
      <c r="H506" s="20"/>
    </row>
    <row r="507" spans="5:8" x14ac:dyDescent="0.3">
      <c r="E507" s="19"/>
      <c r="G507" s="20"/>
      <c r="H507" s="20"/>
    </row>
    <row r="508" spans="5:8" x14ac:dyDescent="0.3">
      <c r="E508" s="19"/>
      <c r="G508" s="20"/>
      <c r="H508" s="20"/>
    </row>
    <row r="509" spans="5:8" x14ac:dyDescent="0.3">
      <c r="E509" s="19"/>
      <c r="G509" s="20"/>
      <c r="H509" s="20"/>
    </row>
    <row r="510" spans="5:8" x14ac:dyDescent="0.3">
      <c r="E510" s="19"/>
      <c r="G510" s="20"/>
      <c r="H510" s="20"/>
    </row>
    <row r="511" spans="5:8" x14ac:dyDescent="0.3">
      <c r="E511" s="19"/>
      <c r="G511" s="20"/>
      <c r="H511" s="20"/>
    </row>
  </sheetData>
  <mergeCells count="17">
    <mergeCell ref="BD27:BG27"/>
    <mergeCell ref="C3:F4"/>
    <mergeCell ref="K21:L21"/>
    <mergeCell ref="M21:Z21"/>
    <mergeCell ref="B22:C22"/>
    <mergeCell ref="D22:E22"/>
    <mergeCell ref="F22:G22"/>
    <mergeCell ref="H22:I22"/>
    <mergeCell ref="J22:K22"/>
    <mergeCell ref="L22:M22"/>
    <mergeCell ref="U22:Y22"/>
    <mergeCell ref="AA34:AB34"/>
    <mergeCell ref="A13:J16"/>
    <mergeCell ref="AI27:AL27"/>
    <mergeCell ref="AP27:AS27"/>
    <mergeCell ref="AW27:AZ27"/>
    <mergeCell ref="P22:T22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Description</vt:lpstr>
      <vt:lpstr>IoT Biosensor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 Prado F</dc:creator>
  <cp:lastModifiedBy>Ailin Prado Falla</cp:lastModifiedBy>
  <dcterms:created xsi:type="dcterms:W3CDTF">2025-01-16T20:43:51Z</dcterms:created>
  <dcterms:modified xsi:type="dcterms:W3CDTF">2026-03-19T22:44:41Z</dcterms:modified>
</cp:coreProperties>
</file>