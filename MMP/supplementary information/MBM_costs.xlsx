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andes\Proyecto especial\Dosificador\Escritura\MBM_data\Data_19_03_2026\"/>
    </mc:Choice>
  </mc:AlternateContent>
  <xr:revisionPtr revIDLastSave="0" documentId="13_ncr:1_{42FFE026-A4A7-454E-AC46-F94E65D2B4AA}" xr6:coauthVersionLast="47" xr6:coauthVersionMax="47" xr10:uidLastSave="{00000000-0000-0000-0000-000000000000}"/>
  <bookViews>
    <workbookView xWindow="-108" yWindow="-108" windowWidth="23256" windowHeight="12456" activeTab="1" xr2:uid="{26740E8F-D576-4529-A386-619D025DE423}"/>
  </bookViews>
  <sheets>
    <sheet name="Manufacture" sheetId="1" r:id="rId1"/>
    <sheet name="Measur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C29" i="2"/>
  <c r="C6" i="2"/>
  <c r="C17" i="2"/>
  <c r="D17" i="2" s="1"/>
  <c r="C18" i="1"/>
  <c r="G19" i="2"/>
  <c r="G20" i="2" s="1"/>
  <c r="G21" i="2" s="1"/>
  <c r="G17" i="2"/>
  <c r="D11" i="2"/>
  <c r="D12" i="2" s="1"/>
  <c r="C10" i="2"/>
  <c r="S14" i="2"/>
  <c r="R14" i="2"/>
  <c r="R13" i="2"/>
  <c r="R12" i="2"/>
  <c r="R11" i="2"/>
  <c r="S13" i="2"/>
  <c r="S6" i="2"/>
  <c r="S12" i="2" s="1"/>
  <c r="S5" i="2"/>
  <c r="S11" i="2" s="1"/>
  <c r="J21" i="1"/>
  <c r="I21" i="1"/>
  <c r="I19" i="1"/>
  <c r="I20" i="1"/>
  <c r="I18" i="1"/>
  <c r="J14" i="1"/>
  <c r="J20" i="1" s="1"/>
  <c r="J13" i="1"/>
  <c r="J19" i="1" s="1"/>
  <c r="J12" i="1"/>
  <c r="J18" i="1" s="1"/>
  <c r="C6" i="1"/>
  <c r="C11" i="1"/>
  <c r="C19" i="1" s="1"/>
  <c r="G20" i="1"/>
  <c r="G21" i="1" s="1"/>
  <c r="G22" i="1" s="1"/>
  <c r="G18" i="1"/>
  <c r="D12" i="1"/>
  <c r="D13" i="1" s="1"/>
  <c r="D30" i="1" s="1"/>
  <c r="D16" i="2" l="1"/>
  <c r="D18" i="2" s="1"/>
  <c r="D19" i="2" s="1"/>
  <c r="D30" i="2" s="1"/>
  <c r="C18" i="2"/>
  <c r="C19" i="2" s="1"/>
  <c r="C30" i="2" s="1"/>
  <c r="C31" i="2" s="1"/>
  <c r="E29" i="2" s="1"/>
  <c r="C11" i="2"/>
  <c r="C12" i="2" s="1"/>
  <c r="S15" i="2"/>
  <c r="J22" i="1"/>
  <c r="C31" i="1" s="1"/>
  <c r="D17" i="1"/>
  <c r="C20" i="1"/>
  <c r="C32" i="1" s="1"/>
  <c r="D18" i="1"/>
  <c r="D19" i="1"/>
  <c r="D20" i="1" s="1"/>
  <c r="D32" i="1" s="1"/>
  <c r="C12" i="1"/>
  <c r="D31" i="1" l="1"/>
  <c r="D33" i="1"/>
  <c r="F31" i="1"/>
  <c r="F32" i="1"/>
  <c r="D31" i="2"/>
  <c r="F29" i="2" s="1"/>
  <c r="C13" i="1"/>
  <c r="F30" i="1" l="1"/>
  <c r="F30" i="2"/>
  <c r="F31" i="2"/>
  <c r="C30" i="1"/>
  <c r="E30" i="2" l="1"/>
  <c r="C33" i="1"/>
  <c r="E30" i="1"/>
  <c r="E31" i="2"/>
  <c r="E33" i="1" l="1"/>
  <c r="E31" i="1"/>
  <c r="E32" i="1"/>
  <c r="F33" i="1"/>
</calcChain>
</file>

<file path=xl/sharedStrings.xml><?xml version="1.0" encoding="utf-8"?>
<sst xmlns="http://schemas.openxmlformats.org/spreadsheetml/2006/main" count="114" uniqueCount="53">
  <si>
    <t>USD per hour</t>
  </si>
  <si>
    <t>Assembling</t>
  </si>
  <si>
    <t>Immobilization</t>
  </si>
  <si>
    <t xml:space="preserve">Measurements of stages </t>
  </si>
  <si>
    <t>IoT</t>
  </si>
  <si>
    <t>Manual</t>
  </si>
  <si>
    <t>total</t>
  </si>
  <si>
    <t>Motors</t>
  </si>
  <si>
    <t>Total</t>
  </si>
  <si>
    <t>Manual [min]</t>
  </si>
  <si>
    <t>IoT [min]</t>
  </si>
  <si>
    <t>V</t>
  </si>
  <si>
    <t>P= V x I</t>
  </si>
  <si>
    <t>I</t>
  </si>
  <si>
    <t>Time of functioning</t>
  </si>
  <si>
    <t>Stages</t>
  </si>
  <si>
    <t>APTES</t>
  </si>
  <si>
    <t>Laccase</t>
  </si>
  <si>
    <t>s</t>
  </si>
  <si>
    <t>W</t>
  </si>
  <si>
    <t>A</t>
  </si>
  <si>
    <t>Total time 1 motor</t>
  </si>
  <si>
    <t>Total time 3 motor</t>
  </si>
  <si>
    <t>Total time 3 motor [min]</t>
  </si>
  <si>
    <t>min</t>
  </si>
  <si>
    <t>Energy</t>
  </si>
  <si>
    <t>Working time measurements</t>
  </si>
  <si>
    <t>Working time assembling</t>
  </si>
  <si>
    <t>Energy cost assembling</t>
  </si>
  <si>
    <t>Energy cost measurements</t>
  </si>
  <si>
    <t>biotech laboratory technician</t>
  </si>
  <si>
    <t>Junior lab technician</t>
  </si>
  <si>
    <t>Wmin</t>
  </si>
  <si>
    <t>Potentiostat &amp; electronics</t>
  </si>
  <si>
    <t>Materials</t>
  </si>
  <si>
    <t>USD/batch of biosensor</t>
  </si>
  <si>
    <t>batrch of biosensors</t>
  </si>
  <si>
    <t>Glutarhaldehy</t>
  </si>
  <si>
    <t>USD/ml</t>
  </si>
  <si>
    <t>Batch of biosensor</t>
  </si>
  <si>
    <t>ml/biosensor</t>
  </si>
  <si>
    <t>Electrode</t>
  </si>
  <si>
    <t>Unit</t>
  </si>
  <si>
    <t>Measurements APAP</t>
  </si>
  <si>
    <t>Personnel</t>
  </si>
  <si>
    <t>Item USD /Batch of biosensors</t>
  </si>
  <si>
    <t>Summary table</t>
  </si>
  <si>
    <t>Percentage</t>
  </si>
  <si>
    <t>APAP</t>
  </si>
  <si>
    <t>Milli Q</t>
  </si>
  <si>
    <t>Manual (USD)</t>
  </si>
  <si>
    <t>IoT (USD)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</si>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</sst>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11" fontId="0" fillId="0" borderId="1" xfId="0" applyNumberFormat="1" applyBorder="1"/>
    <xf numFmtId="0" fontId="0" fillId="2" borderId="1" xfId="0" applyFill="1" applyBorder="1"/>
    <xf numFmtId="165" fontId="0" fillId="0" borderId="1" xfId="0" applyNumberFormat="1" applyBorder="1"/>
    <xf numFmtId="9" fontId="0" fillId="0" borderId="1" xfId="1" applyFont="1" applyBorder="1"/>
    <xf numFmtId="164" fontId="0" fillId="0" borderId="1" xfId="0" applyNumberFormat="1" applyBorder="1"/>
    <xf numFmtId="165" fontId="0" fillId="2" borderId="11" xfId="0" applyNumberFormat="1" applyFill="1" applyBorder="1"/>
    <xf numFmtId="165" fontId="0" fillId="2" borderId="12" xfId="0" applyNumberFormat="1" applyFill="1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918007794663065"/>
          <c:y val="0.10357803991271231"/>
          <c:w val="0.73363079578220713"/>
          <c:h val="0.612847050442285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Manufacture!$C$29</c:f>
              <c:strCache>
                <c:ptCount val="1"/>
                <c:pt idx="0">
                  <c:v>Manual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Manufacture!$B$30:$B$32</c:f>
              <c:strCache>
                <c:ptCount val="3"/>
                <c:pt idx="0">
                  <c:v>Personnel</c:v>
                </c:pt>
                <c:pt idx="1">
                  <c:v>Materials</c:v>
                </c:pt>
                <c:pt idx="2">
                  <c:v>Energy</c:v>
                </c:pt>
              </c:strCache>
            </c:strRef>
          </c:cat>
          <c:val>
            <c:numRef>
              <c:f>Manufacture!$C$30:$C$32</c:f>
              <c:numCache>
                <c:formatCode>0.0</c:formatCode>
                <c:ptCount val="3"/>
                <c:pt idx="0">
                  <c:v>74.433333333333337</c:v>
                </c:pt>
                <c:pt idx="1">
                  <c:v>36.114199999999997</c:v>
                </c:pt>
                <c:pt idx="2" formatCode="0.00000">
                  <c:v>3.7493333333333336E-5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C-4E84-BD06-5DB7959FAEE0}"/>
            </c:ext>
          </c:extLst>
        </c:ser>
        <c:ser>
          <c:idx val="1"/>
          <c:order val="1"/>
          <c:tx>
            <c:strRef>
              <c:f>Manufacture!$D$29</c:f>
              <c:strCache>
                <c:ptCount val="1"/>
                <c:pt idx="0">
                  <c:v>IoT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Manufacture!$B$30:$B$32</c:f>
              <c:strCache>
                <c:ptCount val="3"/>
                <c:pt idx="0">
                  <c:v>Personnel</c:v>
                </c:pt>
                <c:pt idx="1">
                  <c:v>Materials</c:v>
                </c:pt>
                <c:pt idx="2">
                  <c:v>Energy</c:v>
                </c:pt>
              </c:strCache>
            </c:strRef>
          </c:cat>
          <c:val>
            <c:numRef>
              <c:f>Manufacture!$D$30:$D$32</c:f>
              <c:numCache>
                <c:formatCode>0.0</c:formatCode>
                <c:ptCount val="3"/>
                <c:pt idx="0">
                  <c:v>4.8000000000000007</c:v>
                </c:pt>
                <c:pt idx="1">
                  <c:v>36.114199999999997</c:v>
                </c:pt>
                <c:pt idx="2" formatCode="0.00000">
                  <c:v>2.2369333333333331E-4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C-4E84-BD06-5DB7959FA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714784"/>
        <c:axId val="1088717664"/>
      </c:barChart>
      <c:catAx>
        <c:axId val="10887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717664"/>
        <c:crosses val="autoZero"/>
        <c:auto val="1"/>
        <c:lblAlgn val="ctr"/>
        <c:lblOffset val="100"/>
        <c:noMultiLvlLbl val="0"/>
      </c:catAx>
      <c:valAx>
        <c:axId val="1088717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USD / Batch of biosensors</a:t>
                </a:r>
              </a:p>
            </c:rich>
          </c:tx>
          <c:layout>
            <c:manualLayout>
              <c:xMode val="edge"/>
              <c:yMode val="edge"/>
              <c:x val="4.9434879301092277E-2"/>
              <c:y val="8.80162917841266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7147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3580087683385435"/>
          <c:y val="0.87699415143659498"/>
          <c:w val="0.36662942176958357"/>
          <c:h val="0.10351254592455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1547428906798112"/>
          <c:y val="0.11394023541709145"/>
          <c:w val="0.55733647565484878"/>
          <c:h val="0.6024849023498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Manufacture!$C$29</c:f>
              <c:strCache>
                <c:ptCount val="1"/>
                <c:pt idx="0">
                  <c:v>Manual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Manufacture!$B$30:$B$32</c15:sqref>
                  </c15:fullRef>
                </c:ext>
              </c:extLst>
              <c:f>Manufacture!$B$32</c:f>
              <c:strCache>
                <c:ptCount val="1"/>
                <c:pt idx="0">
                  <c:v>Energy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Manufacture!$C$30:$C$32</c15:sqref>
                  </c15:fullRef>
                </c:ext>
              </c:extLst>
              <c:f>Manufacture!$C$32</c:f>
              <c:numCache>
                <c:formatCode>0.0</c:formatCode>
                <c:ptCount val="1"/>
                <c:pt idx="0" formatCode="0.00000">
                  <c:v>3.7493333333333336E-5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6-41C7-B8E6-D3835A08B5C7}"/>
            </c:ext>
          </c:extLst>
        </c:ser>
        <c:ser>
          <c:idx val="1"/>
          <c:order val="1"/>
          <c:tx>
            <c:strRef>
              <c:f>Manufacture!$D$29</c:f>
              <c:strCache>
                <c:ptCount val="1"/>
                <c:pt idx="0">
                  <c:v>IoT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Manufacture!$B$30:$B$32</c15:sqref>
                  </c15:fullRef>
                </c:ext>
              </c:extLst>
              <c:f>Manufacture!$B$32</c:f>
              <c:strCache>
                <c:ptCount val="1"/>
                <c:pt idx="0">
                  <c:v>Energy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Manufacture!$D$30:$D$32</c15:sqref>
                  </c15:fullRef>
                </c:ext>
              </c:extLst>
              <c:f>Manufacture!$D$32</c:f>
              <c:numCache>
                <c:formatCode>0.0</c:formatCode>
                <c:ptCount val="1"/>
                <c:pt idx="0" formatCode="0.00000">
                  <c:v>2.2369333333333331E-4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6-41C7-B8E6-D3835A08B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714784"/>
        <c:axId val="1088717664"/>
      </c:barChart>
      <c:catAx>
        <c:axId val="10887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717664"/>
        <c:crosses val="autoZero"/>
        <c:auto val="1"/>
        <c:lblAlgn val="ctr"/>
        <c:lblOffset val="100"/>
        <c:noMultiLvlLbl val="0"/>
      </c:catAx>
      <c:valAx>
        <c:axId val="1088717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USD / Batch of biosensors</a:t>
                </a:r>
              </a:p>
            </c:rich>
          </c:tx>
          <c:layout>
            <c:manualLayout>
              <c:xMode val="edge"/>
              <c:yMode val="edge"/>
              <c:x val="8.4277022542916954E-2"/>
              <c:y val="0.10617603730835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714784"/>
        <c:crosses val="autoZero"/>
        <c:crossBetween val="between"/>
        <c:majorUnit val="1.0000000000000003E-4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460642693572543"/>
          <c:y val="0.87628185400664205"/>
          <c:w val="0.4060260032707792"/>
          <c:h val="0.1015615677227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4109612115087024"/>
          <c:y val="0.33140209764428025"/>
          <c:w val="0.32109749048434416"/>
          <c:h val="0.32975875317382958"/>
        </c:manualLayout>
      </c:layout>
      <c:pieChart>
        <c:varyColors val="1"/>
        <c:ser>
          <c:idx val="0"/>
          <c:order val="0"/>
          <c:tx>
            <c:strRef>
              <c:f>Manufacture!$D$29</c:f>
              <c:strCache>
                <c:ptCount val="1"/>
                <c:pt idx="0">
                  <c:v>IoT (USD)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explosion val="25"/>
          <c:dPt>
            <c:idx val="0"/>
            <c:bubble3D val="0"/>
            <c:spPr>
              <a:solidFill>
                <a:schemeClr val="accent2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67-48A0-92E3-389DF625EA7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67-48A0-92E3-389DF625EA7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67-48A0-92E3-389DF625EA7B}"/>
              </c:ext>
            </c:extLst>
          </c:dPt>
          <c:dLbls>
            <c:dLbl>
              <c:idx val="0"/>
              <c:layout>
                <c:manualLayout>
                  <c:x val="-0.10215323988790438"/>
                  <c:y val="7.0353742175346456E-2"/>
                </c:manualLayout>
              </c:layout>
              <c:tx>
                <c:rich>
                  <a:bodyPr/>
                  <a:lstStyle/>
                  <a:p>
                    <a:fld id="{7E1E7BF7-E35C-4B3B-B124-79162BEBEDA7}" type="CELLRANGE">
                      <a:rPr lang="en-US"/>
                      <a:pPr/>
                      <a:t>[CELLRANGE]</a:t>
                    </a:fld>
                    <a:r>
                      <a:rPr lang="en-US"/>
                      <a:t> USD</a:t>
                    </a:r>
                    <a:r>
                      <a:rPr lang="en-US" baseline="0"/>
                      <a:t> </a:t>
                    </a:r>
                    <a:fld id="{1D08F6C9-6916-41B7-9C4B-C01B1BEED7F7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 </a:t>
                    </a:r>
                    <a:fld id="{0626B9F0-D053-47EE-B904-60DBB0628498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599808190321878"/>
                      <c:h val="0.2115304471725995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E67-48A0-92E3-389DF625EA7B}"/>
                </c:ext>
              </c:extLst>
            </c:dLbl>
            <c:dLbl>
              <c:idx val="1"/>
              <c:layout>
                <c:manualLayout>
                  <c:x val="0.10405811732031446"/>
                  <c:y val="7.8999970495180934E-3"/>
                </c:manualLayout>
              </c:layout>
              <c:tx>
                <c:rich>
                  <a:bodyPr/>
                  <a:lstStyle/>
                  <a:p>
                    <a:fld id="{3F198035-C42E-4C86-B7FE-D38A206351E1}" type="CELLRANGE">
                      <a:rPr lang="en-US"/>
                      <a:pPr/>
                      <a:t>[CELLRANGE]</a:t>
                    </a:fld>
                    <a:r>
                      <a:rPr lang="en-US"/>
                      <a:t> USD</a:t>
                    </a:r>
                    <a:r>
                      <a:rPr lang="en-US" baseline="0"/>
                      <a:t> </a:t>
                    </a:r>
                    <a:fld id="{DA29C2C7-7B33-41A7-A74E-EEDE694A7CA0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 </a:t>
                    </a:r>
                  </a:p>
                  <a:p>
                    <a:fld id="{CD7E87E1-F917-4FBA-886C-F6AE54B1E563}" type="VALUE">
                      <a:rPr lang="en-US" baseline="0"/>
                      <a:pPr/>
                      <a:t>[VALOR]</a:t>
                    </a:fld>
                    <a:endParaRPr lang="es-CO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01807838240703"/>
                      <c:h val="0.2203601191353113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E67-48A0-92E3-389DF625EA7B}"/>
                </c:ext>
              </c:extLst>
            </c:dLbl>
            <c:dLbl>
              <c:idx val="2"/>
              <c:layout>
                <c:manualLayout>
                  <c:x val="-4.830341287160346E-2"/>
                  <c:y val="-4.0477568116498379E-2"/>
                </c:manualLayout>
              </c:layout>
              <c:tx>
                <c:rich>
                  <a:bodyPr/>
                  <a:lstStyle/>
                  <a:p>
                    <a:fld id="{F76D8DBA-D2C8-4B22-9BFD-2BBD16DFF739}" type="CELLRANGE">
                      <a:rPr lang="en-US"/>
                      <a:pPr/>
                      <a:t>[CELLRANGE]</a:t>
                    </a:fld>
                    <a:r>
                      <a:rPr lang="en-US"/>
                      <a:t> USD</a:t>
                    </a:r>
                    <a:r>
                      <a:rPr lang="en-US" baseline="0"/>
                      <a:t> </a:t>
                    </a:r>
                    <a:fld id="{936EC826-756F-458D-A3A6-7468FEDA87A0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 </a:t>
                    </a:r>
                  </a:p>
                  <a:p>
                    <a:fld id="{248C1691-CD8A-4AE5-BAAD-99E3292C52B0}" type="VALUE">
                      <a:rPr lang="en-US" baseline="0"/>
                      <a:pPr/>
                      <a:t>[VALOR]</a:t>
                    </a:fld>
                    <a:endParaRPr lang="es-CO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88022436455853"/>
                      <c:h val="0.200870495595038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E67-48A0-92E3-389DF625EA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Manufacture!$B$30:$B$32</c:f>
              <c:strCache>
                <c:ptCount val="3"/>
                <c:pt idx="0">
                  <c:v>Personnel</c:v>
                </c:pt>
                <c:pt idx="1">
                  <c:v>Materials</c:v>
                </c:pt>
                <c:pt idx="2">
                  <c:v>Energy</c:v>
                </c:pt>
              </c:strCache>
            </c:strRef>
          </c:cat>
          <c:val>
            <c:numRef>
              <c:f>Manufacture!$F$30:$F$32</c:f>
              <c:numCache>
                <c:formatCode>0%</c:formatCode>
                <c:ptCount val="3"/>
                <c:pt idx="0">
                  <c:v>0.11731804011166169</c:v>
                </c:pt>
                <c:pt idx="1">
                  <c:v>0.88267649254178582</c:v>
                </c:pt>
                <c:pt idx="2">
                  <c:v>5.4673465526481882E-6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Manufacture!$D$30:$D$32</c15:f>
                <c15:dlblRangeCache>
                  <c:ptCount val="3"/>
                  <c:pt idx="0">
                    <c:v>4.8</c:v>
                  </c:pt>
                  <c:pt idx="1">
                    <c:v>36.1</c:v>
                  </c:pt>
                  <c:pt idx="2">
                    <c:v>0.00022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3E67-48A0-92E3-389DF625EA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10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025874343659077"/>
          <c:y val="0.23657222362054112"/>
          <c:w val="0.59811486405426928"/>
          <c:h val="0.61424837524504716"/>
        </c:manualLayout>
      </c:layout>
      <c:pieChart>
        <c:varyColors val="1"/>
        <c:ser>
          <c:idx val="0"/>
          <c:order val="0"/>
          <c:tx>
            <c:strRef>
              <c:f>Manufacture!$C$29</c:f>
              <c:strCache>
                <c:ptCount val="1"/>
                <c:pt idx="0">
                  <c:v>Manual (USD)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explosion val="10"/>
          <c:dPt>
            <c:idx val="0"/>
            <c:bubble3D val="0"/>
            <c:spPr>
              <a:solidFill>
                <a:schemeClr val="accent2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4-42D3-8D18-156BB6CBCF9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4-42D3-8D18-156BB6CBCF9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A4-42D3-8D18-156BB6CBCF9A}"/>
              </c:ext>
            </c:extLst>
          </c:dPt>
          <c:dLbls>
            <c:dLbl>
              <c:idx val="0"/>
              <c:layout>
                <c:manualLayout>
                  <c:x val="6.7305298733234209E-2"/>
                  <c:y val="-0.14186628022965911"/>
                </c:manualLayout>
              </c:layout>
              <c:tx>
                <c:rich>
                  <a:bodyPr/>
                  <a:lstStyle/>
                  <a:p>
                    <a:fld id="{E6FF4261-5785-4C8A-A589-8BF612D3D44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USD</a:t>
                    </a:r>
                  </a:p>
                  <a:p>
                    <a:fld id="{A9892732-8ECA-4043-9260-DC92C5DE8D61}" type="CATEGORYNAME">
                      <a:rPr lang="en-US" baseline="0"/>
                      <a:pPr/>
                      <a:t>[NOMBRE DE CATEGORÍA]</a:t>
                    </a:fld>
                    <a:endParaRPr lang="en-US" baseline="0"/>
                  </a:p>
                  <a:p>
                    <a:fld id="{658C139B-B765-4047-A24E-D5F8383CE786}" type="VALUE">
                      <a:rPr lang="en-US" baseline="0"/>
                      <a:pPr/>
                      <a:t>[VALOR]</a:t>
                    </a:fld>
                    <a:endParaRPr lang="es-CO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518111147115024"/>
                      <c:h val="0.2092310384964206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3A4-42D3-8D18-156BB6CBCF9A}"/>
                </c:ext>
              </c:extLst>
            </c:dLbl>
            <c:dLbl>
              <c:idx val="1"/>
              <c:layout>
                <c:manualLayout>
                  <c:x val="3.453192206751346E-2"/>
                  <c:y val="6.2275520514988005E-2"/>
                </c:manualLayout>
              </c:layout>
              <c:tx>
                <c:rich>
                  <a:bodyPr/>
                  <a:lstStyle/>
                  <a:p>
                    <a:fld id="{B12CA347-0E7D-4927-8792-67810A469DC8}" type="CELLRANGE">
                      <a:rPr lang="en-US"/>
                      <a:pPr/>
                      <a:t>[CELLRANGE]</a:t>
                    </a:fld>
                    <a:r>
                      <a:rPr lang="en-US"/>
                      <a:t> USD</a:t>
                    </a:r>
                    <a:r>
                      <a:rPr lang="en-US" baseline="0"/>
                      <a:t> </a:t>
                    </a:r>
                    <a:fld id="{FD120757-5762-4C24-B934-7C5D237E61B9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 </a:t>
                    </a:r>
                  </a:p>
                  <a:p>
                    <a:fld id="{BCD2790B-F0E3-49C7-9000-9DA50D89B3F0}" type="VALUE">
                      <a:rPr lang="en-US" baseline="0"/>
                      <a:pPr/>
                      <a:t>[VALOR]</a:t>
                    </a:fld>
                    <a:endParaRPr lang="es-CO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913343600204527"/>
                      <c:h val="0.2292782443267666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3A4-42D3-8D18-156BB6CBCF9A}"/>
                </c:ext>
              </c:extLst>
            </c:dLbl>
            <c:dLbl>
              <c:idx val="2"/>
              <c:layout>
                <c:manualLayout>
                  <c:x val="-1.1589434497559357E-2"/>
                  <c:y val="0.10115201816399108"/>
                </c:manualLayout>
              </c:layout>
              <c:tx>
                <c:rich>
                  <a:bodyPr/>
                  <a:lstStyle/>
                  <a:p>
                    <a:fld id="{C8585C72-A88A-463F-90C4-3E3E6CA3C67D}" type="CELLRANGE">
                      <a:rPr lang="en-US"/>
                      <a:pPr/>
                      <a:t>[CELLRANGE]</a:t>
                    </a:fld>
                    <a:r>
                      <a:rPr lang="en-US"/>
                      <a:t> USD</a:t>
                    </a:r>
                    <a:r>
                      <a:rPr lang="en-US" baseline="0"/>
                      <a:t> </a:t>
                    </a:r>
                    <a:fld id="{A78A3FF9-87D2-487C-B34D-78B0794B3F6A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 </a:t>
                    </a:r>
                  </a:p>
                  <a:p>
                    <a:fld id="{F4BA1697-59EF-4A37-B0DD-6B050CF70947}" type="VALUE">
                      <a:rPr lang="en-US" baseline="0"/>
                      <a:pPr/>
                      <a:t>[VALOR]</a:t>
                    </a:fld>
                    <a:endParaRPr lang="es-CO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000170342675704"/>
                      <c:h val="0.2370833670070089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3A4-42D3-8D18-156BB6CBCF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Manufacture!$B$30:$B$32</c:f>
              <c:strCache>
                <c:ptCount val="3"/>
                <c:pt idx="0">
                  <c:v>Personnel</c:v>
                </c:pt>
                <c:pt idx="1">
                  <c:v>Materials</c:v>
                </c:pt>
                <c:pt idx="2">
                  <c:v>Energy</c:v>
                </c:pt>
              </c:strCache>
            </c:strRef>
          </c:cat>
          <c:val>
            <c:numRef>
              <c:f>Manufacture!$E$30:$E$32</c:f>
              <c:numCache>
                <c:formatCode>0%</c:formatCode>
                <c:ptCount val="3"/>
                <c:pt idx="0">
                  <c:v>0.67331496094148702</c:v>
                </c:pt>
                <c:pt idx="1">
                  <c:v>0.3266846998983392</c:v>
                </c:pt>
                <c:pt idx="2">
                  <c:v>3.3916017378727479E-7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Manufacture!$C$30:$C$32</c15:f>
                <c15:dlblRangeCache>
                  <c:ptCount val="3"/>
                  <c:pt idx="0">
                    <c:v>74.4</c:v>
                  </c:pt>
                  <c:pt idx="1">
                    <c:v>36.1</c:v>
                  </c:pt>
                  <c:pt idx="2">
                    <c:v>0.00004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23A4-42D3-8D18-156BB6CBCF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2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918007794663065"/>
          <c:y val="0.10357803991271231"/>
          <c:w val="0.73363079578220713"/>
          <c:h val="0.612847050442285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Measurements!$C$28</c:f>
              <c:strCache>
                <c:ptCount val="1"/>
                <c:pt idx="0">
                  <c:v>Manual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Measurements!$B$29:$B$30</c:f>
              <c:strCache>
                <c:ptCount val="2"/>
                <c:pt idx="0">
                  <c:v>Personnel</c:v>
                </c:pt>
                <c:pt idx="1">
                  <c:v>Energy</c:v>
                </c:pt>
              </c:strCache>
            </c:strRef>
          </c:cat>
          <c:val>
            <c:numRef>
              <c:f>Measurements!$C$29:$C$30</c:f>
              <c:numCache>
                <c:formatCode>0.00000</c:formatCode>
                <c:ptCount val="2"/>
                <c:pt idx="0" formatCode="0.0">
                  <c:v>38.666666666666664</c:v>
                </c:pt>
                <c:pt idx="1">
                  <c:v>1.0712380952380954E-5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D-426B-A7F3-047801410509}"/>
            </c:ext>
          </c:extLst>
        </c:ser>
        <c:ser>
          <c:idx val="1"/>
          <c:order val="1"/>
          <c:tx>
            <c:strRef>
              <c:f>Measurements!$D$28</c:f>
              <c:strCache>
                <c:ptCount val="1"/>
                <c:pt idx="0">
                  <c:v>IoT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Measurements!$B$29:$B$30</c:f>
              <c:strCache>
                <c:ptCount val="2"/>
                <c:pt idx="0">
                  <c:v>Personnel</c:v>
                </c:pt>
                <c:pt idx="1">
                  <c:v>Energy</c:v>
                </c:pt>
              </c:strCache>
            </c:strRef>
          </c:cat>
          <c:val>
            <c:numRef>
              <c:f>Measurements!$D$29:$D$30</c:f>
              <c:numCache>
                <c:formatCode>0.00000</c:formatCode>
                <c:ptCount val="2"/>
                <c:pt idx="0" formatCode="0.0">
                  <c:v>2</c:v>
                </c:pt>
                <c:pt idx="1">
                  <c:v>6.3912380952380949E-5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D-426B-A7F3-047801410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714784"/>
        <c:axId val="1088717664"/>
      </c:barChart>
      <c:catAx>
        <c:axId val="10887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717664"/>
        <c:crosses val="autoZero"/>
        <c:auto val="1"/>
        <c:lblAlgn val="ctr"/>
        <c:lblOffset val="100"/>
        <c:noMultiLvlLbl val="0"/>
      </c:catAx>
      <c:valAx>
        <c:axId val="1088717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USD / Batch of biosensors</a:t>
                </a:r>
              </a:p>
            </c:rich>
          </c:tx>
          <c:layout>
            <c:manualLayout>
              <c:xMode val="edge"/>
              <c:yMode val="edge"/>
              <c:x val="4.9434879301092277E-2"/>
              <c:y val="8.80162917841266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7147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3580087683385435"/>
          <c:y val="0.87699415143659498"/>
          <c:w val="0.36638911619185938"/>
          <c:h val="0.104492684269986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1547428906798112"/>
          <c:y val="0.11394023541709145"/>
          <c:w val="0.55733647565484878"/>
          <c:h val="0.6024849023498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Measurements!$C$28</c:f>
              <c:strCache>
                <c:ptCount val="1"/>
                <c:pt idx="0">
                  <c:v>Manual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Measurements!$B$29:$B$30</c15:sqref>
                  </c15:fullRef>
                </c:ext>
              </c:extLst>
              <c:f>Measurements!$B$30</c:f>
              <c:strCache>
                <c:ptCount val="1"/>
                <c:pt idx="0">
                  <c:v>Energy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Measurements!$C$29:$C$30</c15:sqref>
                  </c15:fullRef>
                </c:ext>
              </c:extLst>
              <c:f>Measurements!$C$30</c:f>
              <c:numCache>
                <c:formatCode>0.00000</c:formatCode>
                <c:ptCount val="1"/>
                <c:pt idx="0">
                  <c:v>1.0712380952380954E-5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5-41FD-ADAA-24B60F72B686}"/>
            </c:ext>
          </c:extLst>
        </c:ser>
        <c:ser>
          <c:idx val="1"/>
          <c:order val="1"/>
          <c:tx>
            <c:strRef>
              <c:f>Measurements!$D$28</c:f>
              <c:strCache>
                <c:ptCount val="1"/>
                <c:pt idx="0">
                  <c:v>IoT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Measurements!$B$29:$B$30</c15:sqref>
                  </c15:fullRef>
                </c:ext>
              </c:extLst>
              <c:f>Measurements!$B$30</c:f>
              <c:strCache>
                <c:ptCount val="1"/>
                <c:pt idx="0">
                  <c:v>Energy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Measurements!$D$29:$D$30</c15:sqref>
                  </c15:fullRef>
                </c:ext>
              </c:extLst>
              <c:f>Measurements!$D$30</c:f>
              <c:numCache>
                <c:formatCode>0.00000</c:formatCode>
                <c:ptCount val="1"/>
                <c:pt idx="0">
                  <c:v>6.3912380952380949E-5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5-41FD-ADAA-24B60F72B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714784"/>
        <c:axId val="1088717664"/>
      </c:barChart>
      <c:catAx>
        <c:axId val="10887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717664"/>
        <c:crosses val="autoZero"/>
        <c:auto val="1"/>
        <c:lblAlgn val="ctr"/>
        <c:lblOffset val="100"/>
        <c:noMultiLvlLbl val="0"/>
      </c:catAx>
      <c:valAx>
        <c:axId val="1088717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USD / Batch of biosensors</a:t>
                </a:r>
              </a:p>
            </c:rich>
          </c:tx>
          <c:layout>
            <c:manualLayout>
              <c:xMode val="edge"/>
              <c:yMode val="edge"/>
              <c:x val="8.4277022542916954E-2"/>
              <c:y val="0.10617603730835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000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714784"/>
        <c:crosses val="autoZero"/>
        <c:crossBetween val="between"/>
        <c:majorUnit val="2.0000000000000008E-5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460642693572543"/>
          <c:y val="0.87628185400664205"/>
          <c:w val="0.4060260032707792"/>
          <c:h val="0.1015615677227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4109612115087024"/>
          <c:y val="0.33140209764428025"/>
          <c:w val="0.32109749048434416"/>
          <c:h val="0.32975875317382958"/>
        </c:manualLayout>
      </c:layout>
      <c:pieChart>
        <c:varyColors val="1"/>
        <c:ser>
          <c:idx val="0"/>
          <c:order val="0"/>
          <c:tx>
            <c:strRef>
              <c:f>Measurements!$D$28</c:f>
              <c:strCache>
                <c:ptCount val="1"/>
                <c:pt idx="0">
                  <c:v>IoT (USD)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explosion val="51"/>
          <c:dPt>
            <c:idx val="0"/>
            <c:bubble3D val="0"/>
            <c:spPr>
              <a:solidFill>
                <a:schemeClr val="accent2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8B-4AF7-9E45-E0D505C87BB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8B-4AF7-9E45-E0D505C87BB0}"/>
              </c:ext>
            </c:extLst>
          </c:dPt>
          <c:dLbls>
            <c:dLbl>
              <c:idx val="0"/>
              <c:layout>
                <c:manualLayout>
                  <c:x val="0.11182325258265371"/>
                  <c:y val="-5.8158895050240307E-2"/>
                </c:manualLayout>
              </c:layout>
              <c:tx>
                <c:rich>
                  <a:bodyPr/>
                  <a:lstStyle/>
                  <a:p>
                    <a:fld id="{3F198035-C42E-4C86-B7FE-D38A206351E1}" type="CELLRANGE">
                      <a:rPr lang="en-US"/>
                      <a:pPr/>
                      <a:t>[CELLRANGE]</a:t>
                    </a:fld>
                    <a:r>
                      <a:rPr lang="en-US"/>
                      <a:t> USD</a:t>
                    </a:r>
                    <a:r>
                      <a:rPr lang="en-US" baseline="0"/>
                      <a:t> </a:t>
                    </a:r>
                    <a:fld id="{DA29C2C7-7B33-41A7-A74E-EEDE694A7CA0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 </a:t>
                    </a:r>
                    <a:fld id="{CD7E87E1-F917-4FBA-886C-F6AE54B1E563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871788982903456"/>
                      <c:h val="0.2326950900176383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B8B-4AF7-9E45-E0D505C87BB0}"/>
                </c:ext>
              </c:extLst>
            </c:dLbl>
            <c:dLbl>
              <c:idx val="1"/>
              <c:layout>
                <c:manualLayout>
                  <c:x val="-4.2510046600220855E-2"/>
                  <c:y val="-7.8874864648066589E-2"/>
                </c:manualLayout>
              </c:layout>
              <c:tx>
                <c:rich>
                  <a:bodyPr/>
                  <a:lstStyle/>
                  <a:p>
                    <a:fld id="{F76D8DBA-D2C8-4B22-9BFD-2BBD16DFF739}" type="CELLRANGE">
                      <a:rPr lang="en-US"/>
                      <a:pPr/>
                      <a:t>[CELLRANGE]</a:t>
                    </a:fld>
                    <a:r>
                      <a:rPr lang="en-US"/>
                      <a:t> USD</a:t>
                    </a:r>
                    <a:r>
                      <a:rPr lang="en-US" baseline="0"/>
                      <a:t> </a:t>
                    </a:r>
                    <a:fld id="{936EC826-756F-458D-A3A6-7468FEDA87A0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 </a:t>
                    </a:r>
                  </a:p>
                  <a:p>
                    <a:fld id="{248C1691-CD8A-4AE5-BAAD-99E3292C52B0}" type="VALUE">
                      <a:rPr lang="en-US" baseline="0"/>
                      <a:pPr/>
                      <a:t>[VALOR]</a:t>
                    </a:fld>
                    <a:endParaRPr lang="es-CO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191211216464259"/>
                      <c:h val="0.2484841138488076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B8B-4AF7-9E45-E0D505C87B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Measurements!$B$29:$B$30</c:f>
              <c:strCache>
                <c:ptCount val="2"/>
                <c:pt idx="0">
                  <c:v>Personnel</c:v>
                </c:pt>
                <c:pt idx="1">
                  <c:v>Energy</c:v>
                </c:pt>
              </c:strCache>
            </c:strRef>
          </c:cat>
          <c:val>
            <c:numRef>
              <c:f>Measurements!$F$29:$F$30</c:f>
              <c:numCache>
                <c:formatCode>0%</c:formatCode>
                <c:ptCount val="2"/>
                <c:pt idx="0">
                  <c:v>0.99996804483068924</c:v>
                </c:pt>
                <c:pt idx="1">
                  <c:v>3.1955169310713278E-5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Measurements!$D$29:$D$30</c15:f>
                <c15:dlblRangeCache>
                  <c:ptCount val="2"/>
                  <c:pt idx="0">
                    <c:v>2.0</c:v>
                  </c:pt>
                  <c:pt idx="1">
                    <c:v>0.00006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B8B-4AF7-9E45-E0D505C87B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12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607234979857213"/>
          <c:y val="0.15383725298530218"/>
          <c:w val="0.68213040159982996"/>
          <c:h val="0.70092317676544103"/>
        </c:manualLayout>
      </c:layout>
      <c:pieChart>
        <c:varyColors val="1"/>
        <c:ser>
          <c:idx val="0"/>
          <c:order val="0"/>
          <c:tx>
            <c:strRef>
              <c:f>Measurements!$C$28</c:f>
              <c:strCache>
                <c:ptCount val="1"/>
                <c:pt idx="0">
                  <c:v>Manual (USD)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explosion val="5"/>
          <c:dPt>
            <c:idx val="0"/>
            <c:bubble3D val="0"/>
            <c:explosion val="0"/>
            <c:spPr>
              <a:solidFill>
                <a:schemeClr val="accent2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E3-45CF-A177-30222FAC2E7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E3-45CF-A177-30222FAC2E70}"/>
              </c:ext>
            </c:extLst>
          </c:dPt>
          <c:dLbls>
            <c:dLbl>
              <c:idx val="0"/>
              <c:layout>
                <c:manualLayout>
                  <c:x val="3.4584234649885796E-2"/>
                  <c:y val="-7.3770468847583232E-2"/>
                </c:manualLayout>
              </c:layout>
              <c:tx>
                <c:rich>
                  <a:bodyPr/>
                  <a:lstStyle/>
                  <a:p>
                    <a:fld id="{B12CA347-0E7D-4927-8792-67810A469DC8}" type="CELLRANGE">
                      <a:rPr lang="en-US"/>
                      <a:pPr/>
                      <a:t>[CELLRANGE]</a:t>
                    </a:fld>
                    <a:r>
                      <a:rPr lang="en-US"/>
                      <a:t> USD</a:t>
                    </a:r>
                    <a:r>
                      <a:rPr lang="en-US" baseline="0"/>
                      <a:t> </a:t>
                    </a:r>
                    <a:fld id="{FD120757-5762-4C24-B934-7C5D237E61B9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 </a:t>
                    </a:r>
                    <a:fld id="{BCD2790B-F0E3-49C7-9000-9DA50D89B3F0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776165912838278"/>
                      <c:h val="0.2654382012961775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4E3-45CF-A177-30222FAC2E70}"/>
                </c:ext>
              </c:extLst>
            </c:dLbl>
            <c:dLbl>
              <c:idx val="1"/>
              <c:layout>
                <c:manualLayout>
                  <c:x val="-3.8341335703451808E-3"/>
                  <c:y val="4.0291071035813697E-2"/>
                </c:manualLayout>
              </c:layout>
              <c:tx>
                <c:rich>
                  <a:bodyPr/>
                  <a:lstStyle/>
                  <a:p>
                    <a:fld id="{C8585C72-A88A-463F-90C4-3E3E6CA3C67D}" type="CELLRANGE">
                      <a:rPr lang="en-US"/>
                      <a:pPr/>
                      <a:t>[CELLRANGE]</a:t>
                    </a:fld>
                    <a:r>
                      <a:rPr lang="en-US"/>
                      <a:t> USD</a:t>
                    </a:r>
                    <a:r>
                      <a:rPr lang="en-US" baseline="0"/>
                      <a:t> </a:t>
                    </a:r>
                    <a:fld id="{A78A3FF9-87D2-487C-B34D-78B0794B3F6A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 </a:t>
                    </a:r>
                  </a:p>
                  <a:p>
                    <a:fld id="{F4BA1697-59EF-4A37-B0DD-6B050CF70947}" type="VALUE">
                      <a:rPr lang="en-US" baseline="0"/>
                      <a:pPr/>
                      <a:t>[VALOR]</a:t>
                    </a:fld>
                    <a:endParaRPr lang="es-CO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64460647132677"/>
                      <c:h val="0.2654382012961775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4E3-45CF-A177-30222FAC2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Measurements!$B$29:$B$30</c:f>
              <c:strCache>
                <c:ptCount val="2"/>
                <c:pt idx="0">
                  <c:v>Personnel</c:v>
                </c:pt>
                <c:pt idx="1">
                  <c:v>Energy</c:v>
                </c:pt>
              </c:strCache>
            </c:strRef>
          </c:cat>
          <c:val>
            <c:numRef>
              <c:f>Measurements!$E$29:$E$30</c:f>
              <c:numCache>
                <c:formatCode>0%</c:formatCode>
                <c:ptCount val="2"/>
                <c:pt idx="0">
                  <c:v>0.99999972295574169</c:v>
                </c:pt>
                <c:pt idx="1">
                  <c:v>2.7704425822182722E-7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Measurements!$C$29:$C$30</c15:f>
                <c15:dlblRangeCache>
                  <c:ptCount val="2"/>
                  <c:pt idx="0">
                    <c:v>38.7</c:v>
                  </c:pt>
                  <c:pt idx="1">
                    <c:v>0.00001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44E3-45CF-A177-30222FAC2E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119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632127</xdr:colOff>
      <xdr:row>35</xdr:row>
      <xdr:rowOff>124902</xdr:rowOff>
    </xdr:from>
    <xdr:to>
      <xdr:col>7</xdr:col>
      <xdr:colOff>489473</xdr:colOff>
      <xdr:row>51</xdr:row>
      <xdr:rowOff>35294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6DCF7A6A-A02B-40D0-1C92-4376A664E4A6}"/>
            </a:ext>
          </a:extLst>
        </xdr:cNvPr>
        <xdr:cNvGrpSpPr/>
      </xdr:nvGrpSpPr>
      <xdr:grpSpPr>
        <a:xfrm>
          <a:off x="632127" y="6759382"/>
          <a:ext cx="6989666" cy="2836472"/>
          <a:chOff x="632127" y="6716921"/>
          <a:chExt cx="6974138" cy="2785864"/>
        </a:xfrm>
      </xdr:grpSpPr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0F0CCD43-FAD9-F97B-9344-74F7314FC1FA}"/>
              </a:ext>
            </a:extLst>
          </xdr:cNvPr>
          <xdr:cNvGraphicFramePr/>
        </xdr:nvGraphicFramePr>
        <xdr:xfrm>
          <a:off x="632127" y="6716921"/>
          <a:ext cx="3688270" cy="27793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FBB54D8F-48DA-497B-BF5B-544586710DDB}"/>
              </a:ext>
            </a:extLst>
          </xdr:cNvPr>
          <xdr:cNvGraphicFramePr>
            <a:graphicFrameLocks/>
          </xdr:cNvGraphicFramePr>
        </xdr:nvGraphicFramePr>
        <xdr:xfrm>
          <a:off x="4233788" y="6716921"/>
          <a:ext cx="3372477" cy="2785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11</xdr:col>
      <xdr:colOff>0</xdr:colOff>
      <xdr:row>32</xdr:row>
      <xdr:rowOff>176893</xdr:rowOff>
    </xdr:from>
    <xdr:to>
      <xdr:col>18</xdr:col>
      <xdr:colOff>163284</xdr:colOff>
      <xdr:row>50</xdr:row>
      <xdr:rowOff>124278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F046AE8E-BA1E-E4A1-9739-D1322B239A71}"/>
            </a:ext>
          </a:extLst>
        </xdr:cNvPr>
        <xdr:cNvGrpSpPr/>
      </xdr:nvGrpSpPr>
      <xdr:grpSpPr>
        <a:xfrm>
          <a:off x="11511280" y="6262733"/>
          <a:ext cx="6167844" cy="3239225"/>
          <a:chOff x="11502189" y="6321019"/>
          <a:chExt cx="6171053" cy="3276122"/>
        </a:xfrm>
      </xdr:grpSpPr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F7D0B7E1-D04F-460C-14AC-9FB54CE827ED}"/>
              </a:ext>
            </a:extLst>
          </xdr:cNvPr>
          <xdr:cNvGrpSpPr/>
        </xdr:nvGrpSpPr>
        <xdr:grpSpPr>
          <a:xfrm>
            <a:off x="11502189" y="6321019"/>
            <a:ext cx="6171053" cy="3276122"/>
            <a:chOff x="11502189" y="6321019"/>
            <a:chExt cx="6171053" cy="3276122"/>
          </a:xfrm>
        </xdr:grpSpPr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511FB735-695C-439D-B0EC-0B199DCC0DD6}"/>
                </a:ext>
              </a:extLst>
            </xdr:cNvPr>
            <xdr:cNvGraphicFramePr>
              <a:graphicFrameLocks/>
            </xdr:cNvGraphicFramePr>
          </xdr:nvGraphicFramePr>
          <xdr:xfrm>
            <a:off x="14368712" y="6321019"/>
            <a:ext cx="3304530" cy="327612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3299B27B-A875-447C-BE53-E35601703262}"/>
                </a:ext>
              </a:extLst>
            </xdr:cNvPr>
            <xdr:cNvGraphicFramePr>
              <a:graphicFrameLocks/>
            </xdr:cNvGraphicFramePr>
          </xdr:nvGraphicFramePr>
          <xdr:xfrm>
            <a:off x="11502189" y="6321019"/>
            <a:ext cx="3309453" cy="32722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8FEDFC13-13F7-A961-6655-51175EF4D805}"/>
              </a:ext>
            </a:extLst>
          </xdr:cNvPr>
          <xdr:cNvSpPr txBox="1"/>
        </xdr:nvSpPr>
        <xdr:spPr>
          <a:xfrm>
            <a:off x="11999495" y="9200148"/>
            <a:ext cx="2486565" cy="3150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CO" sz="1400">
                <a:solidFill>
                  <a:schemeClr val="tx1">
                    <a:lumMod val="75000"/>
                    <a:lumOff val="25000"/>
                  </a:schemeClr>
                </a:solidFill>
              </a:rPr>
              <a:t>110.5</a:t>
            </a:r>
            <a:r>
              <a:rPr lang="es-CO" sz="140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es-CO" sz="1400">
                <a:solidFill>
                  <a:schemeClr val="tx1">
                    <a:lumMod val="75000"/>
                    <a:lumOff val="25000"/>
                  </a:schemeClr>
                </a:solidFill>
              </a:rPr>
              <a:t>USD / Batch of biosensors</a:t>
            </a: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D0448DB2-77CA-4128-8F44-E363D7313F49}"/>
              </a:ext>
            </a:extLst>
          </xdr:cNvPr>
          <xdr:cNvSpPr txBox="1"/>
        </xdr:nvSpPr>
        <xdr:spPr>
          <a:xfrm>
            <a:off x="14895096" y="9200148"/>
            <a:ext cx="2395350" cy="3150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CO" sz="1400">
                <a:solidFill>
                  <a:schemeClr val="tx1">
                    <a:lumMod val="75000"/>
                    <a:lumOff val="25000"/>
                  </a:schemeClr>
                </a:solidFill>
              </a:rPr>
              <a:t>40.9 USD / Batch of biosensors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632127</xdr:colOff>
      <xdr:row>35</xdr:row>
      <xdr:rowOff>124902</xdr:rowOff>
    </xdr:from>
    <xdr:to>
      <xdr:col>7</xdr:col>
      <xdr:colOff>489473</xdr:colOff>
      <xdr:row>51</xdr:row>
      <xdr:rowOff>35294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77FA071-0B6A-45CA-8585-CB3142D4BEE2}"/>
            </a:ext>
          </a:extLst>
        </xdr:cNvPr>
        <xdr:cNvGrpSpPr/>
      </xdr:nvGrpSpPr>
      <xdr:grpSpPr>
        <a:xfrm>
          <a:off x="632127" y="6736840"/>
          <a:ext cx="6985221" cy="2831392"/>
          <a:chOff x="632127" y="6716921"/>
          <a:chExt cx="6974138" cy="2785864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AA3E6567-51CC-DA22-E6B4-15F45D779A58}"/>
              </a:ext>
            </a:extLst>
          </xdr:cNvPr>
          <xdr:cNvGraphicFramePr/>
        </xdr:nvGraphicFramePr>
        <xdr:xfrm>
          <a:off x="632127" y="6716921"/>
          <a:ext cx="3688270" cy="27793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4D31E947-63EC-A5C9-9B35-D97636F4299E}"/>
              </a:ext>
            </a:extLst>
          </xdr:cNvPr>
          <xdr:cNvGraphicFramePr>
            <a:graphicFrameLocks/>
          </xdr:cNvGraphicFramePr>
        </xdr:nvGraphicFramePr>
        <xdr:xfrm>
          <a:off x="4233788" y="6716921"/>
          <a:ext cx="3372477" cy="2785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11</xdr:col>
      <xdr:colOff>87502</xdr:colOff>
      <xdr:row>33</xdr:row>
      <xdr:rowOff>5535</xdr:rowOff>
    </xdr:from>
    <xdr:to>
      <xdr:col>18</xdr:col>
      <xdr:colOff>250786</xdr:colOff>
      <xdr:row>50</xdr:row>
      <xdr:rowOff>135216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D8BD3ADA-42B5-FD48-CB12-C39A729AC498}"/>
            </a:ext>
          </a:extLst>
        </xdr:cNvPr>
        <xdr:cNvGrpSpPr/>
      </xdr:nvGrpSpPr>
      <xdr:grpSpPr>
        <a:xfrm>
          <a:off x="11596877" y="6252348"/>
          <a:ext cx="6171972" cy="3233243"/>
          <a:chOff x="11600328" y="6242339"/>
          <a:chExt cx="6176458" cy="3227377"/>
        </a:xfrm>
      </xdr:grpSpPr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60A2CD8E-E9B5-839B-1163-6B998909B7E8}"/>
              </a:ext>
            </a:extLst>
          </xdr:cNvPr>
          <xdr:cNvGrpSpPr/>
        </xdr:nvGrpSpPr>
        <xdr:grpSpPr>
          <a:xfrm>
            <a:off x="11600328" y="6242339"/>
            <a:ext cx="6176458" cy="3227377"/>
            <a:chOff x="11502189" y="6321019"/>
            <a:chExt cx="6171053" cy="3276122"/>
          </a:xfrm>
        </xdr:grpSpPr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C3C740DF-F632-6762-38BF-D595A08EBCE4}"/>
                </a:ext>
              </a:extLst>
            </xdr:cNvPr>
            <xdr:cNvGraphicFramePr>
              <a:graphicFrameLocks/>
            </xdr:cNvGraphicFramePr>
          </xdr:nvGraphicFramePr>
          <xdr:xfrm>
            <a:off x="14368712" y="6321019"/>
            <a:ext cx="3304530" cy="327612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CE69CF00-31BD-8310-FBC3-97370173E7BD}"/>
                </a:ext>
              </a:extLst>
            </xdr:cNvPr>
            <xdr:cNvGraphicFramePr>
              <a:graphicFrameLocks/>
            </xdr:cNvGraphicFramePr>
          </xdr:nvGraphicFramePr>
          <xdr:xfrm>
            <a:off x="11502189" y="6321019"/>
            <a:ext cx="3309453" cy="32722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1C8650C5-6C9F-F051-E886-B9588F2C5145}"/>
              </a:ext>
            </a:extLst>
          </xdr:cNvPr>
          <xdr:cNvSpPr txBox="1"/>
        </xdr:nvSpPr>
        <xdr:spPr>
          <a:xfrm>
            <a:off x="12009267" y="9068442"/>
            <a:ext cx="2444306" cy="3080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400">
                <a:solidFill>
                  <a:schemeClr val="tx1">
                    <a:lumMod val="75000"/>
                    <a:lumOff val="25000"/>
                  </a:schemeClr>
                </a:solidFill>
              </a:rPr>
              <a:t>38.7</a:t>
            </a:r>
            <a:r>
              <a:rPr lang="es-CO" sz="140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es-CO" sz="1400">
                <a:solidFill>
                  <a:schemeClr val="tx1">
                    <a:lumMod val="75000"/>
                    <a:lumOff val="25000"/>
                  </a:schemeClr>
                </a:solidFill>
              </a:rPr>
              <a:t>USD / Batch of biosensors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59C74226-4047-CE7C-F20C-E6CEAEC4BBB6}"/>
              </a:ext>
            </a:extLst>
          </xdr:cNvPr>
          <xdr:cNvSpPr txBox="1"/>
        </xdr:nvSpPr>
        <xdr:spPr>
          <a:xfrm>
            <a:off x="15164386" y="9068442"/>
            <a:ext cx="2351648" cy="3080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400">
                <a:solidFill>
                  <a:schemeClr val="tx1">
                    <a:lumMod val="75000"/>
                    <a:lumOff val="25000"/>
                  </a:schemeClr>
                </a:solidFill>
              </a:rPr>
              <a:t>2 USD / Batch of biosensors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8BC6-99D2-4A92-AA68-9EC8A93778EA}">
  <dimension ref="B1:K33"/>
  <sheetViews>
    <sheetView zoomScale="75" zoomScaleNormal="161" workbookViewId="0">
      <selection activeCell="D30" sqref="D30"/>
    </sheetView>
  </sheetViews>
  <sheetFormatPr baseColWidth="10" defaultRowHeight="14.4" x14ac:dyDescent="0.3"/>
  <cols>
    <col min="2" max="2" width="20.88671875" customWidth="1"/>
    <col min="3" max="3" width="15" bestFit="1" customWidth="1"/>
    <col min="4" max="4" width="13.109375" bestFit="1" customWidth="1"/>
    <col min="6" max="6" width="20.109375" customWidth="1"/>
    <col min="7" max="7" width="11.6640625" bestFit="1" customWidth="1"/>
    <col min="10" max="10" width="25.77734375" bestFit="1" customWidth="1"/>
    <col min="11" max="11" width="14.88671875" bestFit="1" customWidth="1"/>
    <col min="12" max="12" width="11.6640625" bestFit="1" customWidth="1"/>
    <col min="15" max="15" width="11.6640625" bestFit="1" customWidth="1"/>
    <col min="18" max="18" width="17.88671875" bestFit="1" customWidth="1"/>
    <col min="19" max="19" width="16.5546875" customWidth="1"/>
  </cols>
  <sheetData>
    <row r="1" spans="2:11" x14ac:dyDescent="0.3">
      <c r="B1" s="21" t="s">
        <v>1</v>
      </c>
    </row>
    <row r="3" spans="2:11" x14ac:dyDescent="0.3">
      <c r="B3" s="1"/>
      <c r="C3" s="1" t="s">
        <v>0</v>
      </c>
    </row>
    <row r="4" spans="2:11" ht="28.8" x14ac:dyDescent="0.3">
      <c r="B4" s="20" t="s">
        <v>30</v>
      </c>
      <c r="C4" s="1">
        <v>29</v>
      </c>
    </row>
    <row r="5" spans="2:11" x14ac:dyDescent="0.3">
      <c r="B5" s="20" t="s">
        <v>31</v>
      </c>
      <c r="C5" s="1">
        <v>24</v>
      </c>
    </row>
    <row r="6" spans="2:11" x14ac:dyDescent="0.3">
      <c r="B6" s="1" t="s">
        <v>25</v>
      </c>
      <c r="C6" s="1">
        <f>0.19/1000</f>
        <v>1.9000000000000001E-4</v>
      </c>
    </row>
    <row r="8" spans="2:11" ht="15" thickBot="1" x14ac:dyDescent="0.35">
      <c r="I8" t="s">
        <v>34</v>
      </c>
    </row>
    <row r="9" spans="2:11" x14ac:dyDescent="0.3">
      <c r="B9" s="2" t="s">
        <v>27</v>
      </c>
      <c r="C9" s="3" t="s">
        <v>9</v>
      </c>
      <c r="D9" s="4" t="s">
        <v>10</v>
      </c>
    </row>
    <row r="10" spans="2:11" x14ac:dyDescent="0.3">
      <c r="B10" s="5" t="s">
        <v>2</v>
      </c>
      <c r="C10" s="1">
        <v>90</v>
      </c>
      <c r="D10" s="6">
        <v>10</v>
      </c>
      <c r="I10" t="s">
        <v>36</v>
      </c>
      <c r="J10">
        <v>10</v>
      </c>
    </row>
    <row r="11" spans="2:11" x14ac:dyDescent="0.3">
      <c r="B11" s="5" t="s">
        <v>3</v>
      </c>
      <c r="C11" s="1">
        <f>16*4</f>
        <v>64</v>
      </c>
      <c r="D11" s="6">
        <v>2</v>
      </c>
      <c r="I11" t="s">
        <v>40</v>
      </c>
      <c r="J11">
        <v>0.1</v>
      </c>
    </row>
    <row r="12" spans="2:11" ht="15" thickBot="1" x14ac:dyDescent="0.35">
      <c r="B12" s="7" t="s">
        <v>6</v>
      </c>
      <c r="C12" s="8">
        <f>SUM(C10:C11)</f>
        <v>154</v>
      </c>
      <c r="D12" s="9">
        <f>SUM(D10:D11)</f>
        <v>12</v>
      </c>
      <c r="I12" t="s">
        <v>16</v>
      </c>
      <c r="J12">
        <f>83.7/100</f>
        <v>0.83700000000000008</v>
      </c>
      <c r="K12" t="s">
        <v>38</v>
      </c>
    </row>
    <row r="13" spans="2:11" ht="15" thickBot="1" x14ac:dyDescent="0.35">
      <c r="B13" s="10" t="s">
        <v>35</v>
      </c>
      <c r="C13" s="11">
        <f>C12/60*$C$4</f>
        <v>74.433333333333337</v>
      </c>
      <c r="D13" s="12">
        <f>D12/60*$C$5</f>
        <v>4.8000000000000007</v>
      </c>
      <c r="I13" t="s">
        <v>37</v>
      </c>
      <c r="J13">
        <f>170/1000</f>
        <v>0.17</v>
      </c>
      <c r="K13" t="s">
        <v>38</v>
      </c>
    </row>
    <row r="14" spans="2:11" x14ac:dyDescent="0.3">
      <c r="I14" t="s">
        <v>17</v>
      </c>
      <c r="J14">
        <f>53.6*0.002</f>
        <v>0.1072</v>
      </c>
      <c r="K14" t="s">
        <v>38</v>
      </c>
    </row>
    <row r="15" spans="2:11" x14ac:dyDescent="0.3">
      <c r="F15" t="s">
        <v>7</v>
      </c>
      <c r="I15" t="s">
        <v>41</v>
      </c>
      <c r="J15">
        <v>3.5</v>
      </c>
      <c r="K15" t="s">
        <v>42</v>
      </c>
    </row>
    <row r="16" spans="2:11" x14ac:dyDescent="0.3">
      <c r="B16" s="1" t="s">
        <v>28</v>
      </c>
      <c r="C16" s="1" t="s">
        <v>5</v>
      </c>
      <c r="D16" s="1" t="s">
        <v>4</v>
      </c>
      <c r="F16" s="1" t="s">
        <v>11</v>
      </c>
      <c r="G16" s="1">
        <v>12</v>
      </c>
      <c r="H16" t="s">
        <v>11</v>
      </c>
    </row>
    <row r="17" spans="2:10" x14ac:dyDescent="0.3">
      <c r="B17" s="1" t="s">
        <v>7</v>
      </c>
      <c r="C17" s="1">
        <v>0</v>
      </c>
      <c r="D17" s="1">
        <f>G22*G18</f>
        <v>58.79999999999999</v>
      </c>
      <c r="E17" t="s">
        <v>32</v>
      </c>
      <c r="F17" s="1" t="s">
        <v>13</v>
      </c>
      <c r="G17" s="1">
        <v>2.8</v>
      </c>
      <c r="H17" t="s">
        <v>20</v>
      </c>
      <c r="I17" s="1"/>
      <c r="J17" s="1" t="s">
        <v>39</v>
      </c>
    </row>
    <row r="18" spans="2:10" x14ac:dyDescent="0.3">
      <c r="B18" s="1" t="s">
        <v>33</v>
      </c>
      <c r="C18" s="1">
        <f>11.1/60*C11</f>
        <v>11.84</v>
      </c>
      <c r="D18" s="1">
        <f>C18</f>
        <v>11.84</v>
      </c>
      <c r="F18" s="1" t="s">
        <v>12</v>
      </c>
      <c r="G18" s="1">
        <f>12*2.8</f>
        <v>33.599999999999994</v>
      </c>
      <c r="H18" t="s">
        <v>19</v>
      </c>
      <c r="I18" s="1" t="str">
        <f>I12</f>
        <v>APTES</v>
      </c>
      <c r="J18" s="1">
        <f>$J$10*J12*$J$11</f>
        <v>0.83700000000000019</v>
      </c>
    </row>
    <row r="19" spans="2:10" ht="15" thickBot="1" x14ac:dyDescent="0.35">
      <c r="B19" s="1" t="s">
        <v>8</v>
      </c>
      <c r="C19" s="1">
        <f>SUM(C17:C18)</f>
        <v>11.84</v>
      </c>
      <c r="D19" s="1">
        <f>SUM(D17:D18)</f>
        <v>70.639999999999986</v>
      </c>
      <c r="F19" s="1" t="s">
        <v>14</v>
      </c>
      <c r="G19" s="1">
        <v>5</v>
      </c>
      <c r="H19" t="s">
        <v>18</v>
      </c>
      <c r="I19" s="1" t="str">
        <f t="shared" ref="I19:I21" si="0">I13</f>
        <v>Glutarhaldehy</v>
      </c>
      <c r="J19" s="1">
        <f>$J$10*J13*$J$11</f>
        <v>0.17000000000000004</v>
      </c>
    </row>
    <row r="20" spans="2:10" ht="15" thickBot="1" x14ac:dyDescent="0.35">
      <c r="B20" s="10" t="s">
        <v>35</v>
      </c>
      <c r="C20" s="1">
        <f>C19/60*$C$6</f>
        <v>3.7493333333333336E-5</v>
      </c>
      <c r="D20" s="13">
        <f>D19/60*$C$6</f>
        <v>2.2369333333333331E-4</v>
      </c>
      <c r="F20" s="1" t="s">
        <v>21</v>
      </c>
      <c r="G20" s="1">
        <f>G19*G23</f>
        <v>35</v>
      </c>
      <c r="H20" t="s">
        <v>18</v>
      </c>
      <c r="I20" s="1" t="str">
        <f t="shared" si="0"/>
        <v>Laccase</v>
      </c>
      <c r="J20" s="1">
        <f>$J$10*J14*$J$11</f>
        <v>0.10720000000000002</v>
      </c>
    </row>
    <row r="21" spans="2:10" x14ac:dyDescent="0.3">
      <c r="F21" s="1" t="s">
        <v>22</v>
      </c>
      <c r="G21" s="1">
        <f>G20*3</f>
        <v>105</v>
      </c>
      <c r="H21" t="s">
        <v>18</v>
      </c>
      <c r="I21" s="1" t="str">
        <f t="shared" si="0"/>
        <v>Electrode</v>
      </c>
      <c r="J21" s="1">
        <f>J15*J10</f>
        <v>35</v>
      </c>
    </row>
    <row r="22" spans="2:10" x14ac:dyDescent="0.3">
      <c r="F22" s="1" t="s">
        <v>23</v>
      </c>
      <c r="G22" s="1">
        <f>G21/60</f>
        <v>1.75</v>
      </c>
      <c r="H22" t="s">
        <v>24</v>
      </c>
      <c r="I22" s="14" t="s">
        <v>35</v>
      </c>
      <c r="J22" s="1">
        <f>SUM(J18:J21)</f>
        <v>36.114199999999997</v>
      </c>
    </row>
    <row r="23" spans="2:10" x14ac:dyDescent="0.3">
      <c r="F23" s="1" t="s">
        <v>15</v>
      </c>
      <c r="G23" s="1">
        <v>7</v>
      </c>
    </row>
    <row r="28" spans="2:10" x14ac:dyDescent="0.3">
      <c r="B28" s="1" t="s">
        <v>46</v>
      </c>
      <c r="C28" s="1"/>
      <c r="D28" s="1"/>
      <c r="E28" s="1" t="s">
        <v>47</v>
      </c>
      <c r="F28" s="1"/>
    </row>
    <row r="29" spans="2:10" x14ac:dyDescent="0.3">
      <c r="B29" s="1" t="s">
        <v>45</v>
      </c>
      <c r="C29" s="1" t="s">
        <v>50</v>
      </c>
      <c r="D29" s="1" t="s">
        <v>51</v>
      </c>
      <c r="E29" s="1" t="s">
        <v>5</v>
      </c>
      <c r="F29" s="1" t="s">
        <v>4</v>
      </c>
    </row>
    <row r="30" spans="2:10" x14ac:dyDescent="0.3">
      <c r="B30" s="1" t="s">
        <v>44</v>
      </c>
      <c r="C30" s="15">
        <f>C13</f>
        <v>74.433333333333337</v>
      </c>
      <c r="D30" s="15">
        <f>D13</f>
        <v>4.8000000000000007</v>
      </c>
      <c r="E30" s="16">
        <f>C30/$C$33</f>
        <v>0.67331496094148702</v>
      </c>
      <c r="F30" s="16">
        <f>D30/$D$33</f>
        <v>0.11731804011166169</v>
      </c>
    </row>
    <row r="31" spans="2:10" x14ac:dyDescent="0.3">
      <c r="B31" s="1" t="s">
        <v>34</v>
      </c>
      <c r="C31" s="15">
        <f>J22</f>
        <v>36.114199999999997</v>
      </c>
      <c r="D31" s="15">
        <f>J22</f>
        <v>36.114199999999997</v>
      </c>
      <c r="E31" s="16">
        <f t="shared" ref="E31:E32" si="1">C31/$C$33</f>
        <v>0.3266846998983392</v>
      </c>
      <c r="F31" s="16">
        <f t="shared" ref="F31:F32" si="2">D31/$D$33</f>
        <v>0.88267649254178582</v>
      </c>
    </row>
    <row r="32" spans="2:10" x14ac:dyDescent="0.3">
      <c r="B32" s="1" t="s">
        <v>25</v>
      </c>
      <c r="C32" s="17">
        <f>C20</f>
        <v>3.7493333333333336E-5</v>
      </c>
      <c r="D32" s="17">
        <f>D20</f>
        <v>2.2369333333333331E-4</v>
      </c>
      <c r="E32" s="16">
        <f t="shared" si="1"/>
        <v>3.3916017378727479E-7</v>
      </c>
      <c r="F32" s="16">
        <f t="shared" si="2"/>
        <v>5.4673465526481882E-6</v>
      </c>
    </row>
    <row r="33" spans="2:6" x14ac:dyDescent="0.3">
      <c r="B33" s="14" t="s">
        <v>35</v>
      </c>
      <c r="C33" s="15">
        <f>SUM(C30:C32)</f>
        <v>110.54757082666667</v>
      </c>
      <c r="D33" s="15">
        <f>SUM(D30:D32)</f>
        <v>40.914423693333326</v>
      </c>
      <c r="E33" s="16">
        <f>C33/C33</f>
        <v>1</v>
      </c>
      <c r="F33" s="16">
        <f>D33/C33</f>
        <v>0.3701069447965093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075A-DCA3-49E9-9B94-B7441970CA3D}">
  <dimension ref="B1:T31"/>
  <sheetViews>
    <sheetView tabSelected="1" zoomScale="96" zoomScaleNormal="161" workbookViewId="0">
      <selection activeCell="G29" sqref="G29"/>
    </sheetView>
  </sheetViews>
  <sheetFormatPr baseColWidth="10" defaultRowHeight="14.4" x14ac:dyDescent="0.3"/>
  <cols>
    <col min="2" max="2" width="20.88671875" customWidth="1"/>
    <col min="3" max="3" width="15" bestFit="1" customWidth="1"/>
    <col min="4" max="4" width="13.109375" bestFit="1" customWidth="1"/>
    <col min="6" max="6" width="20.109375" customWidth="1"/>
    <col min="7" max="7" width="11.6640625" bestFit="1" customWidth="1"/>
    <col min="10" max="10" width="25.77734375" bestFit="1" customWidth="1"/>
    <col min="11" max="11" width="14.88671875" bestFit="1" customWidth="1"/>
    <col min="12" max="12" width="11.6640625" bestFit="1" customWidth="1"/>
    <col min="15" max="15" width="11.6640625" bestFit="1" customWidth="1"/>
    <col min="18" max="18" width="17.88671875" bestFit="1" customWidth="1"/>
    <col min="19" max="19" width="16.5546875" customWidth="1"/>
  </cols>
  <sheetData>
    <row r="1" spans="2:20" x14ac:dyDescent="0.3">
      <c r="B1" s="21" t="s">
        <v>43</v>
      </c>
      <c r="R1" t="s">
        <v>34</v>
      </c>
    </row>
    <row r="3" spans="2:20" x14ac:dyDescent="0.3">
      <c r="B3" s="1"/>
      <c r="C3" s="1" t="s">
        <v>0</v>
      </c>
      <c r="R3" t="s">
        <v>36</v>
      </c>
      <c r="S3">
        <v>10</v>
      </c>
    </row>
    <row r="4" spans="2:20" ht="28.8" x14ac:dyDescent="0.3">
      <c r="B4" s="20" t="s">
        <v>30</v>
      </c>
      <c r="C4" s="1">
        <v>29</v>
      </c>
      <c r="R4" t="s">
        <v>40</v>
      </c>
      <c r="S4">
        <v>0.1</v>
      </c>
    </row>
    <row r="5" spans="2:20" x14ac:dyDescent="0.3">
      <c r="B5" s="20" t="s">
        <v>31</v>
      </c>
      <c r="C5" s="1">
        <v>24</v>
      </c>
      <c r="R5" t="s">
        <v>48</v>
      </c>
      <c r="S5">
        <f>83.7/100</f>
        <v>0.83700000000000008</v>
      </c>
      <c r="T5" t="s">
        <v>38</v>
      </c>
    </row>
    <row r="6" spans="2:20" x14ac:dyDescent="0.3">
      <c r="B6" s="1" t="s">
        <v>25</v>
      </c>
      <c r="C6" s="1">
        <f>0.19/1000</f>
        <v>1.9000000000000001E-4</v>
      </c>
      <c r="R6" t="s">
        <v>49</v>
      </c>
      <c r="S6">
        <f>170/1000</f>
        <v>0.17</v>
      </c>
      <c r="T6" t="s">
        <v>38</v>
      </c>
    </row>
    <row r="8" spans="2:20" ht="15" thickBot="1" x14ac:dyDescent="0.35"/>
    <row r="9" spans="2:20" x14ac:dyDescent="0.3">
      <c r="B9" s="2" t="s">
        <v>26</v>
      </c>
      <c r="C9" s="3" t="s">
        <v>9</v>
      </c>
      <c r="D9" s="4" t="s">
        <v>10</v>
      </c>
    </row>
    <row r="10" spans="2:20" x14ac:dyDescent="0.3">
      <c r="B10" s="5" t="s">
        <v>3</v>
      </c>
      <c r="C10" s="1">
        <f>16*5</f>
        <v>80</v>
      </c>
      <c r="D10" s="6">
        <v>5</v>
      </c>
      <c r="R10" s="1"/>
      <c r="S10" s="1" t="s">
        <v>39</v>
      </c>
    </row>
    <row r="11" spans="2:20" ht="15" thickBot="1" x14ac:dyDescent="0.35">
      <c r="B11" s="7" t="s">
        <v>6</v>
      </c>
      <c r="C11" s="8">
        <f>SUM(C10:C10)</f>
        <v>80</v>
      </c>
      <c r="D11" s="9">
        <f>SUM(D10:D10)</f>
        <v>5</v>
      </c>
      <c r="R11" s="1" t="str">
        <f>R5</f>
        <v>APAP</v>
      </c>
      <c r="S11" s="1">
        <f>$S$3*S5*$S$4</f>
        <v>0.83700000000000019</v>
      </c>
    </row>
    <row r="12" spans="2:20" ht="15" thickBot="1" x14ac:dyDescent="0.35">
      <c r="B12" s="10" t="s">
        <v>35</v>
      </c>
      <c r="C12" s="18">
        <f>C11/60*$C$4</f>
        <v>38.666666666666664</v>
      </c>
      <c r="D12" s="19">
        <f>D11/60*$C$5</f>
        <v>2</v>
      </c>
      <c r="R12" s="1" t="str">
        <f t="shared" ref="R12:R14" si="0">R6</f>
        <v>Milli Q</v>
      </c>
      <c r="S12" s="1">
        <f>$S$3*S6*$S$4</f>
        <v>0.17000000000000004</v>
      </c>
    </row>
    <row r="13" spans="2:20" x14ac:dyDescent="0.3">
      <c r="R13" s="1">
        <f t="shared" si="0"/>
        <v>0</v>
      </c>
      <c r="S13" s="1">
        <f>$S$3*S7*$S$4</f>
        <v>0</v>
      </c>
    </row>
    <row r="14" spans="2:20" x14ac:dyDescent="0.3">
      <c r="F14" t="s">
        <v>7</v>
      </c>
      <c r="R14" s="1">
        <f t="shared" si="0"/>
        <v>0</v>
      </c>
      <c r="S14" s="1">
        <f>S8*S3</f>
        <v>0</v>
      </c>
    </row>
    <row r="15" spans="2:20" x14ac:dyDescent="0.3">
      <c r="B15" s="1" t="s">
        <v>29</v>
      </c>
      <c r="C15" s="1" t="s">
        <v>5</v>
      </c>
      <c r="D15" s="1" t="s">
        <v>4</v>
      </c>
      <c r="F15" s="1" t="s">
        <v>11</v>
      </c>
      <c r="G15" s="1">
        <v>12</v>
      </c>
      <c r="R15" s="14" t="s">
        <v>35</v>
      </c>
      <c r="S15" s="1">
        <f>SUM(S11:S14)</f>
        <v>1.0070000000000001</v>
      </c>
    </row>
    <row r="16" spans="2:20" x14ac:dyDescent="0.3">
      <c r="B16" s="1" t="s">
        <v>7</v>
      </c>
      <c r="C16" s="1">
        <v>0</v>
      </c>
      <c r="D16" s="1">
        <f>G21*G17</f>
        <v>16.799999999999997</v>
      </c>
      <c r="F16" s="1" t="s">
        <v>13</v>
      </c>
      <c r="G16" s="1">
        <v>2.8</v>
      </c>
      <c r="H16" t="s">
        <v>11</v>
      </c>
    </row>
    <row r="17" spans="2:8" x14ac:dyDescent="0.3">
      <c r="B17" s="1" t="s">
        <v>33</v>
      </c>
      <c r="C17" s="1">
        <f>Manufacture!C18*Measurements!G22/Manufacture!G23</f>
        <v>3.382857142857143</v>
      </c>
      <c r="D17" s="1">
        <f>C17</f>
        <v>3.382857142857143</v>
      </c>
      <c r="F17" s="1" t="s">
        <v>12</v>
      </c>
      <c r="G17" s="1">
        <f>12*2.8</f>
        <v>33.599999999999994</v>
      </c>
      <c r="H17" t="s">
        <v>20</v>
      </c>
    </row>
    <row r="18" spans="2:8" ht="15" thickBot="1" x14ac:dyDescent="0.35">
      <c r="B18" s="1" t="s">
        <v>8</v>
      </c>
      <c r="C18" s="1">
        <f>SUM(C16:C17)</f>
        <v>3.382857142857143</v>
      </c>
      <c r="D18" s="1">
        <f>SUM(D16:D17)</f>
        <v>20.182857142857141</v>
      </c>
      <c r="F18" s="1" t="s">
        <v>14</v>
      </c>
      <c r="G18" s="1">
        <v>5</v>
      </c>
      <c r="H18" t="s">
        <v>19</v>
      </c>
    </row>
    <row r="19" spans="2:8" ht="15" thickBot="1" x14ac:dyDescent="0.35">
      <c r="B19" s="10" t="s">
        <v>35</v>
      </c>
      <c r="C19" s="1">
        <f>C18/60*$C$6</f>
        <v>1.0712380952380954E-5</v>
      </c>
      <c r="D19" s="1">
        <f>D18/60*$C$6</f>
        <v>6.3912380952380949E-5</v>
      </c>
      <c r="F19" s="1" t="s">
        <v>21</v>
      </c>
      <c r="G19" s="1">
        <f>G18*G22</f>
        <v>10</v>
      </c>
      <c r="H19" t="s">
        <v>18</v>
      </c>
    </row>
    <row r="20" spans="2:8" x14ac:dyDescent="0.3">
      <c r="F20" s="1" t="s">
        <v>22</v>
      </c>
      <c r="G20" s="1">
        <f>G19*3</f>
        <v>30</v>
      </c>
      <c r="H20" t="s">
        <v>18</v>
      </c>
    </row>
    <row r="21" spans="2:8" x14ac:dyDescent="0.3">
      <c r="F21" s="1" t="s">
        <v>23</v>
      </c>
      <c r="G21" s="1">
        <f>G20/60</f>
        <v>0.5</v>
      </c>
      <c r="H21" t="s">
        <v>18</v>
      </c>
    </row>
    <row r="22" spans="2:8" x14ac:dyDescent="0.3">
      <c r="F22" s="1" t="s">
        <v>15</v>
      </c>
      <c r="G22" s="1">
        <v>2</v>
      </c>
      <c r="H22" t="s">
        <v>24</v>
      </c>
    </row>
    <row r="27" spans="2:8" x14ac:dyDescent="0.3">
      <c r="B27" s="1" t="s">
        <v>46</v>
      </c>
      <c r="C27" s="26" t="s">
        <v>52</v>
      </c>
      <c r="D27" s="27"/>
      <c r="E27" s="26" t="s">
        <v>47</v>
      </c>
      <c r="F27" s="27"/>
    </row>
    <row r="28" spans="2:8" x14ac:dyDescent="0.3">
      <c r="B28" s="1" t="s">
        <v>45</v>
      </c>
      <c r="C28" s="22" t="s">
        <v>50</v>
      </c>
      <c r="D28" s="22" t="s">
        <v>51</v>
      </c>
      <c r="E28" s="22" t="s">
        <v>5</v>
      </c>
      <c r="F28" s="22" t="s">
        <v>4</v>
      </c>
    </row>
    <row r="29" spans="2:8" x14ac:dyDescent="0.3">
      <c r="B29" s="1" t="s">
        <v>44</v>
      </c>
      <c r="C29" s="23">
        <f>C12</f>
        <v>38.666666666666664</v>
      </c>
      <c r="D29" s="23">
        <f>D12</f>
        <v>2</v>
      </c>
      <c r="E29" s="24">
        <f>C29/$C$31</f>
        <v>0.99999972295574169</v>
      </c>
      <c r="F29" s="24">
        <f>D29/$D$31</f>
        <v>0.99996804483068924</v>
      </c>
    </row>
    <row r="30" spans="2:8" x14ac:dyDescent="0.3">
      <c r="B30" s="1" t="s">
        <v>25</v>
      </c>
      <c r="C30" s="25">
        <f>C19</f>
        <v>1.0712380952380954E-5</v>
      </c>
      <c r="D30" s="25">
        <f>D19</f>
        <v>6.3912380952380949E-5</v>
      </c>
      <c r="E30" s="24">
        <f>C30/$C$31</f>
        <v>2.7704425822182722E-7</v>
      </c>
      <c r="F30" s="24">
        <f>D30/$D$31</f>
        <v>3.1955169310713278E-5</v>
      </c>
    </row>
    <row r="31" spans="2:8" x14ac:dyDescent="0.3">
      <c r="B31" s="14" t="s">
        <v>35</v>
      </c>
      <c r="C31" s="23">
        <f>SUM(C29:C30)</f>
        <v>38.66667737904762</v>
      </c>
      <c r="D31" s="23">
        <f>SUM(D29:D30)</f>
        <v>2.0000639123809525</v>
      </c>
      <c r="E31" s="24">
        <f>C31/C31</f>
        <v>1</v>
      </c>
      <c r="F31" s="24">
        <f>D31/C31</f>
        <v>5.1725776507105074E-2</v>
      </c>
    </row>
  </sheetData>
  <mergeCells count="2">
    <mergeCell ref="E27:F27"/>
    <mergeCell ref="C27:D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Manufacture</vt:lpstr>
      <vt:lpstr>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Ailin Prado Falla</dc:creator>
  <cp:lastModifiedBy>Ailin Prado Falla</cp:lastModifiedBy>
  <dcterms:created xsi:type="dcterms:W3CDTF">2026-01-20T21:14:06Z</dcterms:created>
  <dcterms:modified xsi:type="dcterms:W3CDTF">2026-03-19T22:37:44Z</dcterms:modified>
</cp:coreProperties>
</file>