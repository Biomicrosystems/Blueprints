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andes\Proyecto especial\Dosificador\Escritura\MBM_data\Data_19_03_2026\"/>
    </mc:Choice>
  </mc:AlternateContent>
  <xr:revisionPtr revIDLastSave="0" documentId="13_ncr:1_{FBFBCC3B-89C4-4EC7-833B-8850EC98C5F4}" xr6:coauthVersionLast="47" xr6:coauthVersionMax="47" xr10:uidLastSave="{00000000-0000-0000-0000-000000000000}"/>
  <bookViews>
    <workbookView xWindow="-108" yWindow="-108" windowWidth="23256" windowHeight="12456" xr2:uid="{2BCF5737-CBA3-41CA-BDC4-F2FCAF4C57F2}"/>
  </bookViews>
  <sheets>
    <sheet name="ABTS measurements" sheetId="1" r:id="rId1"/>
  </sheets>
  <definedNames>
    <definedName name="_Hlk194912510" localSheetId="0">'ABTS measurements'!#REF!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4" i="1"/>
  <c r="P8" i="1"/>
  <c r="P7" i="1"/>
  <c r="J12" i="1"/>
  <c r="J13" i="1" s="1"/>
  <c r="J16" i="1" s="1"/>
  <c r="H12" i="1"/>
  <c r="H13" i="1" s="1"/>
  <c r="H16" i="1" s="1"/>
  <c r="D31" i="1"/>
  <c r="D32" i="1"/>
  <c r="D33" i="1"/>
  <c r="D34" i="1"/>
  <c r="D35" i="1"/>
  <c r="D36" i="1"/>
  <c r="D37" i="1"/>
  <c r="D38" i="1"/>
  <c r="D39" i="1"/>
  <c r="D40" i="1"/>
  <c r="D41" i="1"/>
  <c r="D42" i="1"/>
  <c r="D30" i="1"/>
  <c r="D7" i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7" i="1"/>
  <c r="D28" i="1"/>
  <c r="D29" i="1"/>
  <c r="D6" i="1"/>
  <c r="H17" i="1" l="1"/>
  <c r="H18" i="1" s="1"/>
  <c r="J17" i="1"/>
  <c r="J18" i="1" s="1"/>
</calcChain>
</file>

<file path=xl/sharedStrings.xml><?xml version="1.0" encoding="utf-8"?>
<sst xmlns="http://schemas.openxmlformats.org/spreadsheetml/2006/main" count="49" uniqueCount="43">
  <si>
    <t>m=0.0036</t>
  </si>
  <si>
    <t>Abs/min</t>
  </si>
  <si>
    <t>Radio electrodo de trabajo</t>
  </si>
  <si>
    <t>X_ABS</t>
  </si>
  <si>
    <t>μm</t>
  </si>
  <si>
    <t>Activity</t>
  </si>
  <si>
    <t>Área superficial electrodo de trabajo</t>
  </si>
  <si>
    <t>μm^2</t>
  </si>
  <si>
    <t>ABS/min</t>
  </si>
  <si>
    <t>Unidad enzimática</t>
  </si>
  <si>
    <t>U/μm^2</t>
  </si>
  <si>
    <t>mm</t>
  </si>
  <si>
    <t>U/mm^2</t>
  </si>
  <si>
    <t>ABS (436nm)</t>
  </si>
  <si>
    <t>mm^2</t>
  </si>
  <si>
    <t>Immobilized laccase on electrode</t>
  </si>
  <si>
    <t>sample</t>
  </si>
  <si>
    <t>time</t>
  </si>
  <si>
    <t>min</t>
  </si>
  <si>
    <t>Free laccase</t>
  </si>
  <si>
    <t>Concentration</t>
  </si>
  <si>
    <t>U/ml</t>
  </si>
  <si>
    <t>μg/ml</t>
  </si>
  <si>
    <t>Activity per mass</t>
  </si>
  <si>
    <t>U/μg</t>
  </si>
  <si>
    <t>Mass per Activity</t>
  </si>
  <si>
    <t>μg/U</t>
  </si>
  <si>
    <t>μg/μm^2</t>
  </si>
  <si>
    <t>μg/mm^2</t>
  </si>
  <si>
    <t>Laccase mass per surface area</t>
  </si>
  <si>
    <t>MW laccase</t>
  </si>
  <si>
    <t>Da</t>
  </si>
  <si>
    <t>g/mol</t>
  </si>
  <si>
    <t>Av</t>
  </si>
  <si>
    <t>Molecules/mol</t>
  </si>
  <si>
    <t>Laccase molecules per surface area</t>
  </si>
  <si>
    <t>molecules/μm^2</t>
  </si>
  <si>
    <t>molecules/mm^2</t>
  </si>
  <si>
    <t>g</t>
  </si>
  <si>
    <t>ug/ml</t>
  </si>
  <si>
    <t xml:space="preserve">ABS (436nm) </t>
  </si>
  <si>
    <t>Water</t>
  </si>
  <si>
    <t>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</si>
</sst>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0" xfId="0" applyBorder="1"/>
    <xf numFmtId="11" fontId="0" fillId="0" borderId="0" xfId="0" applyNumberFormat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1" fontId="0" fillId="0" borderId="7" xfId="0" applyNumberFormat="1" applyBorder="1"/>
    <xf numFmtId="0" fontId="0" fillId="0" borderId="8" xfId="0" applyBorder="1"/>
    <xf numFmtId="0" fontId="0" fillId="0" borderId="7" xfId="0" applyBorder="1"/>
    <xf numFmtId="11" fontId="0" fillId="0" borderId="9" xfId="0" applyNumberFormat="1" applyBorder="1"/>
    <xf numFmtId="0" fontId="0" fillId="0" borderId="10" xfId="0" applyBorder="1"/>
    <xf numFmtId="0" fontId="0" fillId="0" borderId="11" xfId="0" applyBorder="1"/>
    <xf numFmtId="11" fontId="0" fillId="0" borderId="12" xfId="0" applyNumberForma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0" fillId="0" borderId="13" xfId="0" applyBorder="1"/>
    <xf numFmtId="0" fontId="0" fillId="0" borderId="14" xfId="0" applyBorder="1"/>
    <xf numFmtId="0" fontId="1" fillId="0" borderId="1" xfId="0" applyFont="1" applyBorder="1" applyAlignment="1">
      <alignment horizontal="center"/>
    </xf>
    <xf numFmtId="20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52708826194931"/>
          <c:y val="5.5304172951231773E-2"/>
          <c:w val="0.79602846729360621"/>
          <c:h val="0.7218536596952530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58200000000000007"/>
            <c:dispRSqr val="1"/>
            <c:dispEq val="1"/>
            <c:trendlineLbl>
              <c:layout>
                <c:manualLayout>
                  <c:x val="-9.4119641294838144E-2"/>
                  <c:y val="-2.08431758530183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'ABTS measurements'!$D$6:$D$42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18</c:v>
                </c:pt>
                <c:pt idx="10">
                  <c:v>21</c:v>
                </c:pt>
                <c:pt idx="11">
                  <c:v>23</c:v>
                </c:pt>
                <c:pt idx="12">
                  <c:v>27</c:v>
                </c:pt>
                <c:pt idx="14">
                  <c:v>29</c:v>
                </c:pt>
                <c:pt idx="15">
                  <c:v>32</c:v>
                </c:pt>
                <c:pt idx="16">
                  <c:v>34</c:v>
                </c:pt>
                <c:pt idx="17">
                  <c:v>37</c:v>
                </c:pt>
                <c:pt idx="18">
                  <c:v>41</c:v>
                </c:pt>
                <c:pt idx="19">
                  <c:v>44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57</c:v>
                </c:pt>
                <c:pt idx="24">
                  <c:v>61</c:v>
                </c:pt>
                <c:pt idx="25">
                  <c:v>64</c:v>
                </c:pt>
                <c:pt idx="26">
                  <c:v>66</c:v>
                </c:pt>
                <c:pt idx="27">
                  <c:v>76</c:v>
                </c:pt>
                <c:pt idx="28">
                  <c:v>78</c:v>
                </c:pt>
                <c:pt idx="29">
                  <c:v>80</c:v>
                </c:pt>
                <c:pt idx="30">
                  <c:v>83</c:v>
                </c:pt>
                <c:pt idx="31">
                  <c:v>88</c:v>
                </c:pt>
                <c:pt idx="32">
                  <c:v>91</c:v>
                </c:pt>
                <c:pt idx="33">
                  <c:v>93</c:v>
                </c:pt>
                <c:pt idx="34">
                  <c:v>100</c:v>
                </c:pt>
                <c:pt idx="35">
                  <c:v>104</c:v>
                </c:pt>
                <c:pt idx="36">
                  <c:v>106</c:v>
                </c:pt>
              </c:numCache>
            </c:numRef>
          </c:xVal>
          <c:yVal>
            <c:numRef>
              <c:f>'ABTS measurements'!$B$6:$B$42</c:f>
              <c:numCache>
                <c:formatCode>General</c:formatCode>
                <c:ptCount val="37"/>
                <c:pt idx="0">
                  <c:v>0.58199999999999996</c:v>
                </c:pt>
                <c:pt idx="1">
                  <c:v>0.60199999999999998</c:v>
                </c:pt>
                <c:pt idx="2">
                  <c:v>0.60899999999999999</c:v>
                </c:pt>
                <c:pt idx="3">
                  <c:v>0.61099999999999999</c:v>
                </c:pt>
                <c:pt idx="4">
                  <c:v>0.61799999999999999</c:v>
                </c:pt>
                <c:pt idx="5">
                  <c:v>0.624</c:v>
                </c:pt>
                <c:pt idx="6">
                  <c:v>0.629</c:v>
                </c:pt>
                <c:pt idx="7">
                  <c:v>0.63500000000000001</c:v>
                </c:pt>
                <c:pt idx="8">
                  <c:v>0.63600000000000001</c:v>
                </c:pt>
                <c:pt idx="9">
                  <c:v>0.65400000000000003</c:v>
                </c:pt>
                <c:pt idx="10">
                  <c:v>0.66500000000000004</c:v>
                </c:pt>
                <c:pt idx="11">
                  <c:v>0.67200000000000004</c:v>
                </c:pt>
                <c:pt idx="12">
                  <c:v>0.67900000000000005</c:v>
                </c:pt>
                <c:pt idx="14">
                  <c:v>0.70199999999999996</c:v>
                </c:pt>
                <c:pt idx="15">
                  <c:v>0.70199999999999996</c:v>
                </c:pt>
                <c:pt idx="16">
                  <c:v>0.71499999999999997</c:v>
                </c:pt>
                <c:pt idx="17">
                  <c:v>0.72499999999999998</c:v>
                </c:pt>
                <c:pt idx="18">
                  <c:v>0.74099999999999999</c:v>
                </c:pt>
                <c:pt idx="19">
                  <c:v>0.75600000000000001</c:v>
                </c:pt>
                <c:pt idx="20">
                  <c:v>0.77400000000000002</c:v>
                </c:pt>
                <c:pt idx="21">
                  <c:v>0.79100000000000004</c:v>
                </c:pt>
                <c:pt idx="22">
                  <c:v>0.80200000000000005</c:v>
                </c:pt>
                <c:pt idx="23">
                  <c:v>0.80600000000000005</c:v>
                </c:pt>
                <c:pt idx="24">
                  <c:v>0.81899999999999995</c:v>
                </c:pt>
                <c:pt idx="25">
                  <c:v>0.82599999999999996</c:v>
                </c:pt>
                <c:pt idx="26">
                  <c:v>0.83799999999999997</c:v>
                </c:pt>
                <c:pt idx="27">
                  <c:v>0.84899999999999998</c:v>
                </c:pt>
                <c:pt idx="28">
                  <c:v>0.86499999999999999</c:v>
                </c:pt>
                <c:pt idx="29">
                  <c:v>0.871</c:v>
                </c:pt>
                <c:pt idx="30">
                  <c:v>0.876</c:v>
                </c:pt>
                <c:pt idx="31">
                  <c:v>0.89300000000000002</c:v>
                </c:pt>
                <c:pt idx="32">
                  <c:v>0.91</c:v>
                </c:pt>
                <c:pt idx="33">
                  <c:v>0.91700000000000004</c:v>
                </c:pt>
                <c:pt idx="34">
                  <c:v>0.93600000000000005</c:v>
                </c:pt>
                <c:pt idx="35">
                  <c:v>0.93100000000000005</c:v>
                </c:pt>
                <c:pt idx="36">
                  <c:v>0.93400000000000005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C-4C2E-98D8-9E4510C4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164751"/>
        <c:axId val="372167151"/>
      </c:scatterChart>
      <c:valAx>
        <c:axId val="372164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2167151"/>
        <c:crosses val="autoZero"/>
        <c:crossBetween val="midCat"/>
      </c:valAx>
      <c:valAx>
        <c:axId val="372167151"/>
        <c:scaling>
          <c:orientation val="minMax"/>
          <c:min val="0.580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Absorbance</a:t>
                </a:r>
                <a:r>
                  <a:rPr lang="es-CO" sz="1200" baseline="0"/>
                  <a:t> (AU)</a:t>
                </a:r>
                <a:endParaRPr lang="es-CO" sz="1200"/>
              </a:p>
            </c:rich>
          </c:tx>
          <c:layout>
            <c:manualLayout>
              <c:xMode val="edge"/>
              <c:yMode val="edge"/>
              <c:x val="2.4912805181863479E-2"/>
              <c:y val="0.23704548243686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216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744855</xdr:colOff>
      <xdr:row>23</xdr:row>
      <xdr:rowOff>140970</xdr:rowOff>
    </xdr:from>
    <xdr:to>
      <xdr:col>14</xdr:col>
      <xdr:colOff>226695</xdr:colOff>
      <xdr:row>37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344F1D-4AD4-B7C6-0F1D-DE547EF3A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655320</xdr:colOff>
      <xdr:row>4</xdr:row>
      <xdr:rowOff>114300</xdr:rowOff>
    </xdr:from>
    <xdr:to>
      <xdr:col>10</xdr:col>
      <xdr:colOff>304800</xdr:colOff>
      <xdr:row>7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805E8-E9DE-8198-3132-6083D87B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7720" y="891540"/>
          <a:ext cx="383286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3FE8-AAAE-47FC-9F3D-2245691CCB96}">
  <dimension ref="A2:T42"/>
  <sheetViews>
    <sheetView tabSelected="1" zoomScale="80" workbookViewId="0">
      <selection activeCell="E8" sqref="E8"/>
    </sheetView>
  </sheetViews>
  <sheetFormatPr baseColWidth="10" defaultRowHeight="14.4" x14ac:dyDescent="0.3"/>
  <cols>
    <col min="7" max="7" width="33.21875" customWidth="1"/>
    <col min="8" max="8" width="9.77734375" customWidth="1"/>
    <col min="9" max="9" width="8.88671875" customWidth="1"/>
    <col min="10" max="10" width="9.109375" customWidth="1"/>
    <col min="11" max="11" width="15.33203125" customWidth="1"/>
    <col min="12" max="12" width="7.44140625" customWidth="1"/>
    <col min="13" max="13" width="1.6640625" customWidth="1"/>
    <col min="14" max="14" width="2.33203125" customWidth="1"/>
    <col min="15" max="15" width="26.5546875" customWidth="1"/>
    <col min="16" max="16" width="12" bestFit="1" customWidth="1"/>
  </cols>
  <sheetData>
    <row r="2" spans="1:20" ht="18" x14ac:dyDescent="0.35">
      <c r="A2" s="3" t="s">
        <v>15</v>
      </c>
      <c r="O2" s="3" t="s">
        <v>19</v>
      </c>
    </row>
    <row r="4" spans="1:20" x14ac:dyDescent="0.3">
      <c r="B4" s="2" t="s">
        <v>42</v>
      </c>
      <c r="E4" s="2" t="s">
        <v>41</v>
      </c>
      <c r="O4" t="s">
        <v>5</v>
      </c>
      <c r="P4" s="4">
        <v>0.1794</v>
      </c>
      <c r="Q4" t="s">
        <v>21</v>
      </c>
      <c r="R4">
        <v>1</v>
      </c>
      <c r="S4" t="s">
        <v>21</v>
      </c>
      <c r="T4">
        <f>R4/5.5</f>
        <v>0.18181818181818182</v>
      </c>
    </row>
    <row r="5" spans="1:20" x14ac:dyDescent="0.3">
      <c r="A5" s="26" t="s">
        <v>16</v>
      </c>
      <c r="B5" s="26" t="s">
        <v>13</v>
      </c>
      <c r="C5" s="26" t="s">
        <v>17</v>
      </c>
      <c r="D5" s="26" t="s">
        <v>18</v>
      </c>
      <c r="E5" s="2" t="s">
        <v>40</v>
      </c>
      <c r="F5" s="2"/>
      <c r="O5" t="s">
        <v>20</v>
      </c>
      <c r="P5" s="4">
        <v>0.8054</v>
      </c>
      <c r="Q5" t="s">
        <v>22</v>
      </c>
      <c r="R5">
        <v>0.1</v>
      </c>
      <c r="S5" t="s">
        <v>39</v>
      </c>
      <c r="T5">
        <f>R5/5.5</f>
        <v>1.8181818181818184E-2</v>
      </c>
    </row>
    <row r="6" spans="1:20" x14ac:dyDescent="0.3">
      <c r="A6" s="1">
        <v>1</v>
      </c>
      <c r="B6" s="1">
        <v>0.58199999999999996</v>
      </c>
      <c r="C6" s="27">
        <v>0.12569444444444444</v>
      </c>
      <c r="D6" s="28">
        <f t="shared" ref="D6:D18" si="0">MINUTE(C6)-MINUTE($C$6)</f>
        <v>0</v>
      </c>
      <c r="E6">
        <v>2E-3</v>
      </c>
      <c r="P6" s="4"/>
    </row>
    <row r="7" spans="1:20" x14ac:dyDescent="0.3">
      <c r="A7" s="1">
        <v>2</v>
      </c>
      <c r="B7" s="1">
        <v>0.60199999999999998</v>
      </c>
      <c r="C7" s="27">
        <v>0.12638888888888888</v>
      </c>
      <c r="D7" s="28">
        <f t="shared" si="0"/>
        <v>1</v>
      </c>
      <c r="O7" t="s">
        <v>23</v>
      </c>
      <c r="P7" s="4">
        <f>P4/P5</f>
        <v>0.22274646138564688</v>
      </c>
      <c r="Q7" t="s">
        <v>24</v>
      </c>
    </row>
    <row r="8" spans="1:20" x14ac:dyDescent="0.3">
      <c r="A8" s="1">
        <v>3</v>
      </c>
      <c r="B8" s="1">
        <v>0.60899999999999999</v>
      </c>
      <c r="C8" s="27">
        <v>0.12708333333333333</v>
      </c>
      <c r="D8" s="28">
        <f t="shared" si="0"/>
        <v>2</v>
      </c>
      <c r="O8" t="s">
        <v>25</v>
      </c>
      <c r="P8" s="4">
        <f>P5/P4</f>
        <v>4.4894091415830548</v>
      </c>
      <c r="Q8" t="s">
        <v>26</v>
      </c>
    </row>
    <row r="9" spans="1:20" x14ac:dyDescent="0.3">
      <c r="A9" s="1">
        <v>4</v>
      </c>
      <c r="B9" s="1">
        <v>0.61099999999999999</v>
      </c>
      <c r="C9" s="27">
        <v>0.12777777777777777</v>
      </c>
      <c r="D9" s="28">
        <f t="shared" si="0"/>
        <v>3</v>
      </c>
    </row>
    <row r="10" spans="1:20" ht="15" thickBot="1" x14ac:dyDescent="0.35">
      <c r="A10" s="1">
        <v>5</v>
      </c>
      <c r="B10" s="1">
        <v>0.61799999999999999</v>
      </c>
      <c r="C10" s="27">
        <v>0.12847222222222221</v>
      </c>
      <c r="D10" s="28">
        <f t="shared" si="0"/>
        <v>4</v>
      </c>
      <c r="O10" t="s">
        <v>30</v>
      </c>
      <c r="P10" s="5">
        <v>68000</v>
      </c>
      <c r="Q10" t="s">
        <v>31</v>
      </c>
      <c r="R10" t="s">
        <v>32</v>
      </c>
    </row>
    <row r="11" spans="1:20" ht="15" thickBot="1" x14ac:dyDescent="0.35">
      <c r="A11" s="1">
        <v>6</v>
      </c>
      <c r="B11" s="1">
        <v>0.624</v>
      </c>
      <c r="C11" s="27">
        <v>0.13055555555555556</v>
      </c>
      <c r="D11" s="28">
        <f t="shared" si="0"/>
        <v>7</v>
      </c>
      <c r="G11" s="8"/>
      <c r="H11" s="20" t="s">
        <v>4</v>
      </c>
      <c r="I11" s="21"/>
      <c r="J11" s="9" t="s">
        <v>11</v>
      </c>
      <c r="K11" s="10"/>
      <c r="O11" t="s">
        <v>33</v>
      </c>
      <c r="P11" s="5">
        <v>6.0221408E+23</v>
      </c>
      <c r="Q11" t="s">
        <v>34</v>
      </c>
    </row>
    <row r="12" spans="1:20" x14ac:dyDescent="0.3">
      <c r="A12" s="1">
        <v>7</v>
      </c>
      <c r="B12" s="1">
        <v>0.629</v>
      </c>
      <c r="C12" s="27">
        <v>0.13194444444444445</v>
      </c>
      <c r="D12" s="28">
        <f t="shared" si="0"/>
        <v>9</v>
      </c>
      <c r="G12" s="8" t="s">
        <v>2</v>
      </c>
      <c r="H12" s="11">
        <f>2.5*10^4</f>
        <v>25000</v>
      </c>
      <c r="I12" s="22" t="s">
        <v>4</v>
      </c>
      <c r="J12" s="18">
        <f>25</f>
        <v>25</v>
      </c>
      <c r="K12" s="12" t="s">
        <v>11</v>
      </c>
      <c r="O12" t="s">
        <v>30</v>
      </c>
      <c r="P12" s="5">
        <v>1.06E-19</v>
      </c>
      <c r="Q12" t="s">
        <v>38</v>
      </c>
    </row>
    <row r="13" spans="1:20" x14ac:dyDescent="0.3">
      <c r="A13" s="1">
        <v>8</v>
      </c>
      <c r="B13" s="1">
        <v>0.63500000000000001</v>
      </c>
      <c r="C13" s="27">
        <v>0.13263888888888889</v>
      </c>
      <c r="D13" s="28">
        <f t="shared" si="0"/>
        <v>10</v>
      </c>
      <c r="G13" s="8" t="s">
        <v>6</v>
      </c>
      <c r="H13" s="13">
        <f>PI()*H12^2</f>
        <v>1963495408.4936206</v>
      </c>
      <c r="I13" s="23" t="s">
        <v>7</v>
      </c>
      <c r="J13" s="7">
        <f>PI()*J12^2</f>
        <v>1963.4954084936207</v>
      </c>
      <c r="K13" s="14" t="s">
        <v>14</v>
      </c>
      <c r="P13" s="5"/>
    </row>
    <row r="14" spans="1:20" x14ac:dyDescent="0.3">
      <c r="A14" s="1">
        <v>9</v>
      </c>
      <c r="B14" s="1">
        <v>0.63600000000000001</v>
      </c>
      <c r="C14" s="27">
        <v>0.13541666666666666</v>
      </c>
      <c r="D14" s="28">
        <f t="shared" si="0"/>
        <v>14</v>
      </c>
      <c r="G14" s="8" t="s">
        <v>3</v>
      </c>
      <c r="H14" s="15">
        <v>3.5999999999999999E-3</v>
      </c>
      <c r="I14" s="14" t="s">
        <v>8</v>
      </c>
      <c r="J14" s="6">
        <v>3.5999999999999999E-3</v>
      </c>
      <c r="K14" s="14" t="s">
        <v>8</v>
      </c>
      <c r="P14" s="5"/>
    </row>
    <row r="15" spans="1:20" x14ac:dyDescent="0.3">
      <c r="A15" s="1">
        <v>10</v>
      </c>
      <c r="B15" s="1">
        <v>0.65400000000000003</v>
      </c>
      <c r="C15" s="27">
        <v>0.13819444444444445</v>
      </c>
      <c r="D15" s="28">
        <f t="shared" si="0"/>
        <v>18</v>
      </c>
      <c r="G15" s="8" t="s">
        <v>9</v>
      </c>
      <c r="H15" s="15">
        <v>1</v>
      </c>
      <c r="I15" s="14"/>
      <c r="J15" s="6">
        <v>1</v>
      </c>
      <c r="K15" s="14"/>
    </row>
    <row r="16" spans="1:20" x14ac:dyDescent="0.3">
      <c r="A16" s="1">
        <v>11</v>
      </c>
      <c r="B16" s="1">
        <v>0.66500000000000004</v>
      </c>
      <c r="C16" s="27">
        <v>0.14027777777777778</v>
      </c>
      <c r="D16" s="28">
        <f t="shared" si="0"/>
        <v>21</v>
      </c>
      <c r="G16" s="8" t="s">
        <v>5</v>
      </c>
      <c r="H16" s="13">
        <f>5.119*10^(-2)*(H14/H13)</f>
        <v>9.3855070504789905E-14</v>
      </c>
      <c r="I16" s="14" t="s">
        <v>10</v>
      </c>
      <c r="J16" s="7">
        <f>5.119*10^(-2)*(J14/J13)</f>
        <v>9.3855070504789885E-8</v>
      </c>
      <c r="K16" s="14" t="s">
        <v>12</v>
      </c>
    </row>
    <row r="17" spans="1:16" x14ac:dyDescent="0.3">
      <c r="A17" s="1">
        <v>12</v>
      </c>
      <c r="B17" s="1">
        <v>0.67200000000000004</v>
      </c>
      <c r="C17" s="27">
        <v>0.14166666666666666</v>
      </c>
      <c r="D17" s="28">
        <f t="shared" si="0"/>
        <v>23</v>
      </c>
      <c r="G17" s="8" t="s">
        <v>29</v>
      </c>
      <c r="H17" s="13">
        <f>H16*P8</f>
        <v>4.2135381150812593E-13</v>
      </c>
      <c r="I17" s="14" t="s">
        <v>27</v>
      </c>
      <c r="J17" s="7">
        <f>J16*P8</f>
        <v>4.2135381150812586E-7</v>
      </c>
      <c r="K17" s="14" t="s">
        <v>28</v>
      </c>
    </row>
    <row r="18" spans="1:16" ht="15" thickBot="1" x14ac:dyDescent="0.35">
      <c r="A18" s="1">
        <v>13</v>
      </c>
      <c r="B18" s="1">
        <v>0.67900000000000005</v>
      </c>
      <c r="C18" s="27">
        <v>0.14444444444444443</v>
      </c>
      <c r="D18" s="28">
        <f t="shared" si="0"/>
        <v>27</v>
      </c>
      <c r="G18" s="8" t="s">
        <v>35</v>
      </c>
      <c r="H18" s="16">
        <f>H17/P12</f>
        <v>3975035.9576238291</v>
      </c>
      <c r="I18" s="17" t="s">
        <v>36</v>
      </c>
      <c r="J18" s="19">
        <f>J17/P12</f>
        <v>3975035957623.8286</v>
      </c>
      <c r="K18" s="17" t="s">
        <v>37</v>
      </c>
      <c r="P18" s="5"/>
    </row>
    <row r="19" spans="1:16" ht="15" thickBot="1" x14ac:dyDescent="0.35">
      <c r="A19" s="1"/>
      <c r="B19" s="1"/>
      <c r="C19" s="27"/>
      <c r="D19" s="28"/>
      <c r="G19" s="6"/>
      <c r="H19" s="7"/>
      <c r="J19" s="5"/>
    </row>
    <row r="20" spans="1:16" ht="15" thickBot="1" x14ac:dyDescent="0.35">
      <c r="A20" s="1">
        <v>14</v>
      </c>
      <c r="B20" s="1">
        <v>0.70199999999999996</v>
      </c>
      <c r="C20" s="27">
        <v>0.14583333333333334</v>
      </c>
      <c r="D20" s="28">
        <f t="shared" ref="D20:D29" si="1">MINUTE(C20)-MINUTE($C$6)</f>
        <v>29</v>
      </c>
      <c r="G20" s="24" t="s">
        <v>0</v>
      </c>
      <c r="H20" s="25" t="s">
        <v>1</v>
      </c>
    </row>
    <row r="21" spans="1:16" x14ac:dyDescent="0.3">
      <c r="A21" s="1">
        <v>15</v>
      </c>
      <c r="B21" s="1">
        <v>0.70199999999999996</v>
      </c>
      <c r="C21" s="27">
        <v>0.14791666666666667</v>
      </c>
      <c r="D21" s="28">
        <f t="shared" si="1"/>
        <v>32</v>
      </c>
    </row>
    <row r="22" spans="1:16" x14ac:dyDescent="0.3">
      <c r="A22" s="1">
        <v>16</v>
      </c>
      <c r="B22" s="1">
        <v>0.71499999999999997</v>
      </c>
      <c r="C22" s="27">
        <v>0.14930555555555555</v>
      </c>
      <c r="D22" s="28">
        <f t="shared" si="1"/>
        <v>34</v>
      </c>
    </row>
    <row r="23" spans="1:16" x14ac:dyDescent="0.3">
      <c r="A23" s="1">
        <v>17</v>
      </c>
      <c r="B23" s="1">
        <v>0.72499999999999998</v>
      </c>
      <c r="C23" s="27">
        <v>0.15138888888888888</v>
      </c>
      <c r="D23" s="28">
        <f t="shared" si="1"/>
        <v>37</v>
      </c>
    </row>
    <row r="24" spans="1:16" x14ac:dyDescent="0.3">
      <c r="A24" s="1">
        <v>18</v>
      </c>
      <c r="B24" s="1">
        <v>0.74099999999999999</v>
      </c>
      <c r="C24" s="27">
        <v>0.15416666666666667</v>
      </c>
      <c r="D24" s="28">
        <f t="shared" si="1"/>
        <v>41</v>
      </c>
    </row>
    <row r="25" spans="1:16" x14ac:dyDescent="0.3">
      <c r="A25" s="1">
        <v>19</v>
      </c>
      <c r="B25" s="1">
        <v>0.75600000000000001</v>
      </c>
      <c r="C25" s="27">
        <v>0.15625</v>
      </c>
      <c r="D25" s="28">
        <f t="shared" si="1"/>
        <v>44</v>
      </c>
    </row>
    <row r="26" spans="1:16" x14ac:dyDescent="0.3">
      <c r="A26" s="1">
        <v>20</v>
      </c>
      <c r="B26" s="1">
        <v>0.77400000000000002</v>
      </c>
      <c r="C26" s="27">
        <v>0.16041666666666668</v>
      </c>
      <c r="D26" s="28">
        <f t="shared" si="1"/>
        <v>50</v>
      </c>
    </row>
    <row r="27" spans="1:16" x14ac:dyDescent="0.3">
      <c r="A27" s="1">
        <v>21</v>
      </c>
      <c r="B27" s="1">
        <v>0.79100000000000004</v>
      </c>
      <c r="C27" s="27">
        <v>0.16180555555555556</v>
      </c>
      <c r="D27" s="28">
        <f t="shared" si="1"/>
        <v>52</v>
      </c>
    </row>
    <row r="28" spans="1:16" x14ac:dyDescent="0.3">
      <c r="A28" s="1">
        <v>22</v>
      </c>
      <c r="B28" s="1">
        <v>0.80200000000000005</v>
      </c>
      <c r="C28" s="27">
        <v>0.16319444444444445</v>
      </c>
      <c r="D28" s="28">
        <f t="shared" si="1"/>
        <v>54</v>
      </c>
    </row>
    <row r="29" spans="1:16" x14ac:dyDescent="0.3">
      <c r="A29" s="1">
        <v>23</v>
      </c>
      <c r="B29" s="1">
        <v>0.80600000000000005</v>
      </c>
      <c r="C29" s="27">
        <v>0.16527777777777777</v>
      </c>
      <c r="D29" s="28">
        <f t="shared" si="1"/>
        <v>57</v>
      </c>
    </row>
    <row r="30" spans="1:16" x14ac:dyDescent="0.3">
      <c r="A30" s="1">
        <v>24</v>
      </c>
      <c r="B30" s="1">
        <v>0.81899999999999995</v>
      </c>
      <c r="C30" s="27">
        <v>0.16805555555555557</v>
      </c>
      <c r="D30" s="28">
        <f>MINUTE(C30)-MINUTE($C$6)+60</f>
        <v>61</v>
      </c>
    </row>
    <row r="31" spans="1:16" x14ac:dyDescent="0.3">
      <c r="A31" s="1">
        <v>25</v>
      </c>
      <c r="B31" s="1">
        <v>0.82599999999999996</v>
      </c>
      <c r="C31" s="27">
        <v>0.1701388888888889</v>
      </c>
      <c r="D31" s="28">
        <f t="shared" ref="D31:D42" si="2">MINUTE(C31)-MINUTE($C$6)+60</f>
        <v>64</v>
      </c>
    </row>
    <row r="32" spans="1:16" x14ac:dyDescent="0.3">
      <c r="A32" s="1">
        <v>26</v>
      </c>
      <c r="B32" s="1">
        <v>0.83799999999999997</v>
      </c>
      <c r="C32" s="27">
        <v>0.17152777777777778</v>
      </c>
      <c r="D32" s="28">
        <f t="shared" si="2"/>
        <v>66</v>
      </c>
    </row>
    <row r="33" spans="1:4" x14ac:dyDescent="0.3">
      <c r="A33" s="1">
        <v>27</v>
      </c>
      <c r="B33" s="1">
        <v>0.84899999999999998</v>
      </c>
      <c r="C33" s="27">
        <v>0.17847222222222223</v>
      </c>
      <c r="D33" s="28">
        <f t="shared" si="2"/>
        <v>76</v>
      </c>
    </row>
    <row r="34" spans="1:4" x14ac:dyDescent="0.3">
      <c r="A34" s="1">
        <v>28</v>
      </c>
      <c r="B34" s="1">
        <v>0.86499999999999999</v>
      </c>
      <c r="C34" s="27">
        <v>0.17986111111111111</v>
      </c>
      <c r="D34" s="28">
        <f t="shared" si="2"/>
        <v>78</v>
      </c>
    </row>
    <row r="35" spans="1:4" x14ac:dyDescent="0.3">
      <c r="A35" s="1">
        <v>29</v>
      </c>
      <c r="B35" s="1">
        <v>0.871</v>
      </c>
      <c r="C35" s="27">
        <v>0.18124999999999999</v>
      </c>
      <c r="D35" s="28">
        <f t="shared" si="2"/>
        <v>80</v>
      </c>
    </row>
    <row r="36" spans="1:4" x14ac:dyDescent="0.3">
      <c r="A36" s="1">
        <v>30</v>
      </c>
      <c r="B36" s="1">
        <v>0.876</v>
      </c>
      <c r="C36" s="27">
        <v>0.18333333333333332</v>
      </c>
      <c r="D36" s="28">
        <f t="shared" si="2"/>
        <v>83</v>
      </c>
    </row>
    <row r="37" spans="1:4" x14ac:dyDescent="0.3">
      <c r="A37" s="1">
        <v>31</v>
      </c>
      <c r="B37" s="1">
        <v>0.89300000000000002</v>
      </c>
      <c r="C37" s="27">
        <v>0.18680555555555556</v>
      </c>
      <c r="D37" s="28">
        <f t="shared" si="2"/>
        <v>88</v>
      </c>
    </row>
    <row r="38" spans="1:4" x14ac:dyDescent="0.3">
      <c r="A38" s="1">
        <v>32</v>
      </c>
      <c r="B38" s="1">
        <v>0.91</v>
      </c>
      <c r="C38" s="27">
        <v>0.18888888888888888</v>
      </c>
      <c r="D38" s="28">
        <f t="shared" si="2"/>
        <v>91</v>
      </c>
    </row>
    <row r="39" spans="1:4" x14ac:dyDescent="0.3">
      <c r="A39" s="1">
        <v>33</v>
      </c>
      <c r="B39" s="1">
        <v>0.91700000000000004</v>
      </c>
      <c r="C39" s="27">
        <v>0.19027777777777777</v>
      </c>
      <c r="D39" s="28">
        <f t="shared" si="2"/>
        <v>93</v>
      </c>
    </row>
    <row r="40" spans="1:4" x14ac:dyDescent="0.3">
      <c r="A40" s="1">
        <v>34</v>
      </c>
      <c r="B40" s="1">
        <v>0.93600000000000005</v>
      </c>
      <c r="C40" s="27">
        <v>0.19513888888888889</v>
      </c>
      <c r="D40" s="28">
        <f t="shared" si="2"/>
        <v>100</v>
      </c>
    </row>
    <row r="41" spans="1:4" x14ac:dyDescent="0.3">
      <c r="A41" s="1">
        <v>35</v>
      </c>
      <c r="B41" s="1">
        <v>0.93100000000000005</v>
      </c>
      <c r="C41" s="27">
        <v>0.19791666666666666</v>
      </c>
      <c r="D41" s="28">
        <f t="shared" si="2"/>
        <v>104</v>
      </c>
    </row>
    <row r="42" spans="1:4" x14ac:dyDescent="0.3">
      <c r="A42" s="1">
        <v>36</v>
      </c>
      <c r="B42" s="1">
        <v>0.93400000000000005</v>
      </c>
      <c r="C42" s="27">
        <v>0.19930555555555557</v>
      </c>
      <c r="D42" s="28">
        <f t="shared" si="2"/>
        <v>106</v>
      </c>
    </row>
  </sheetData>
  <mergeCells count="2">
    <mergeCell ref="H11:I11"/>
    <mergeCell ref="J11:K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ABTS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Ailin Prado Falla</dc:creator>
  <cp:lastModifiedBy>Ailin Prado Falla</cp:lastModifiedBy>
  <dcterms:created xsi:type="dcterms:W3CDTF">2025-09-29T19:44:54Z</dcterms:created>
  <dcterms:modified xsi:type="dcterms:W3CDTF">2026-03-19T22:49:25Z</dcterms:modified>
</cp:coreProperties>
</file>